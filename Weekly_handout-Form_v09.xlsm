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nyoungs\Documents\꿈교회\Media Team\주보\Indesign template + Data merge\Test\"/>
    </mc:Choice>
  </mc:AlternateContent>
  <bookViews>
    <workbookView xWindow="0" yWindow="0" windowWidth="21600" windowHeight="11620"/>
  </bookViews>
  <sheets>
    <sheet name="Form" sheetId="1" r:id="rId1"/>
    <sheet name="Rota" sheetId="8" r:id="rId2"/>
    <sheet name="Books" sheetId="2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" l="1"/>
  <c r="E24" i="1"/>
  <c r="E9" i="1"/>
  <c r="C9" i="1" l="1"/>
  <c r="B9" i="1"/>
  <c r="B3" i="1"/>
  <c r="B2" i="1"/>
  <c r="B1" i="1"/>
  <c r="B17" i="1"/>
  <c r="B19" i="1"/>
  <c r="B20" i="1"/>
  <c r="B16" i="1"/>
  <c r="B18" i="1"/>
  <c r="B15" i="1"/>
</calcChain>
</file>

<file path=xl/sharedStrings.xml><?xml version="1.0" encoding="utf-8"?>
<sst xmlns="http://schemas.openxmlformats.org/spreadsheetml/2006/main" count="1418" uniqueCount="353">
  <si>
    <t>설교제목</t>
  </si>
  <si>
    <t>월</t>
  </si>
  <si>
    <t>일</t>
  </si>
  <si>
    <t>년도</t>
  </si>
  <si>
    <t>호</t>
  </si>
  <si>
    <t>설교자</t>
  </si>
  <si>
    <t>이영주 목사</t>
  </si>
  <si>
    <t>Exodus</t>
  </si>
  <si>
    <t>Leviticus</t>
  </si>
  <si>
    <t>Numbers</t>
  </si>
  <si>
    <t>Deuteronomy</t>
  </si>
  <si>
    <t>Joshua</t>
  </si>
  <si>
    <t>Judges</t>
  </si>
  <si>
    <t>Ruth</t>
  </si>
  <si>
    <t>1 Samuel</t>
  </si>
  <si>
    <t>2 Samuel</t>
  </si>
  <si>
    <t>1 Kings</t>
  </si>
  <si>
    <t>2 Kings</t>
  </si>
  <si>
    <t>1 Chronicles</t>
  </si>
  <si>
    <t>2 Chronicles</t>
  </si>
  <si>
    <t>Ezra</t>
  </si>
  <si>
    <t>Nehemiah</t>
  </si>
  <si>
    <t>Esther</t>
  </si>
  <si>
    <t>Job</t>
  </si>
  <si>
    <t>Psalms</t>
  </si>
  <si>
    <t>Proverbs</t>
  </si>
  <si>
    <t>Ecclesiastes</t>
  </si>
  <si>
    <t>Song of Solomon</t>
  </si>
  <si>
    <t>Isaiah</t>
  </si>
  <si>
    <t>Jeremiah</t>
  </si>
  <si>
    <t>Lamentations</t>
  </si>
  <si>
    <t>Ezekiel</t>
  </si>
  <si>
    <t>Daniel</t>
  </si>
  <si>
    <t>Hosea</t>
  </si>
  <si>
    <t>Joel</t>
  </si>
  <si>
    <t>Amos</t>
  </si>
  <si>
    <t>Obadiah</t>
  </si>
  <si>
    <t>Jonah</t>
  </si>
  <si>
    <t>Micah</t>
  </si>
  <si>
    <t>Nahum</t>
  </si>
  <si>
    <t>Habakkuk</t>
  </si>
  <si>
    <t>Zephaniah</t>
  </si>
  <si>
    <t>Haggai</t>
  </si>
  <si>
    <t>Zechariah</t>
  </si>
  <si>
    <t>Malachi</t>
  </si>
  <si>
    <t>Matthew</t>
  </si>
  <si>
    <t>Mark</t>
  </si>
  <si>
    <t>Luke</t>
  </si>
  <si>
    <t>John</t>
  </si>
  <si>
    <t>Acts</t>
  </si>
  <si>
    <t>Romans</t>
  </si>
  <si>
    <t>1 Corinthians</t>
  </si>
  <si>
    <t>2 Corinthians</t>
  </si>
  <si>
    <t>Galatians</t>
  </si>
  <si>
    <t>Ephesians</t>
  </si>
  <si>
    <t>Philippians</t>
  </si>
  <si>
    <t>Colossians</t>
  </si>
  <si>
    <t>1 Thessalonians</t>
  </si>
  <si>
    <t>2 Thessalonians</t>
  </si>
  <si>
    <t>1 Timothy</t>
  </si>
  <si>
    <t>2 Timothy</t>
  </si>
  <si>
    <t>Titus</t>
  </si>
  <si>
    <t>Philemon</t>
  </si>
  <si>
    <t>Hebrews</t>
  </si>
  <si>
    <t>James</t>
  </si>
  <si>
    <t>1 Peter</t>
  </si>
  <si>
    <t>2 Peter</t>
  </si>
  <si>
    <t>1 John</t>
  </si>
  <si>
    <t>2 John</t>
  </si>
  <si>
    <t>3 John</t>
  </si>
  <si>
    <t>Jude</t>
  </si>
  <si>
    <t>Revelation</t>
  </si>
  <si>
    <t>신</t>
  </si>
  <si>
    <t>수</t>
  </si>
  <si>
    <t>전도팀 다음주</t>
  </si>
  <si>
    <t>오픈마인드 제목</t>
  </si>
  <si>
    <t>오픈마인드 글</t>
  </si>
  <si>
    <t>신앙고백</t>
  </si>
  <si>
    <t>찬양과 경배</t>
  </si>
  <si>
    <t>찬양과 봉헌</t>
  </si>
  <si>
    <t>환영 및 광고</t>
  </si>
  <si>
    <t>축복송</t>
  </si>
  <si>
    <t>봉헌기도 및 축도</t>
  </si>
  <si>
    <t>"야곱의 축복"</t>
  </si>
  <si>
    <t>성경봉독(책)</t>
  </si>
  <si>
    <t>사도신경</t>
  </si>
  <si>
    <t>찬양팀</t>
  </si>
  <si>
    <t>창</t>
  </si>
  <si>
    <t>창세기</t>
  </si>
  <si>
    <t>Genesis</t>
  </si>
  <si>
    <t>민</t>
  </si>
  <si>
    <t>출</t>
  </si>
  <si>
    <t>장</t>
  </si>
  <si>
    <t>절 부터</t>
  </si>
  <si>
    <t>절 까지</t>
  </si>
  <si>
    <t>레</t>
  </si>
  <si>
    <t>삿</t>
  </si>
  <si>
    <t>룻</t>
  </si>
  <si>
    <t>삼상</t>
  </si>
  <si>
    <t>삼하</t>
  </si>
  <si>
    <t>왕상</t>
  </si>
  <si>
    <t>왕하</t>
  </si>
  <si>
    <t>대상</t>
  </si>
  <si>
    <t>대하</t>
  </si>
  <si>
    <t>스</t>
  </si>
  <si>
    <t>느</t>
  </si>
  <si>
    <t>에</t>
  </si>
  <si>
    <t>욥</t>
  </si>
  <si>
    <t>시</t>
  </si>
  <si>
    <t>잠</t>
  </si>
  <si>
    <t>전</t>
  </si>
  <si>
    <t>아</t>
  </si>
  <si>
    <t>사</t>
  </si>
  <si>
    <t>렘</t>
  </si>
  <si>
    <t>애</t>
  </si>
  <si>
    <t>겔</t>
  </si>
  <si>
    <t>단</t>
  </si>
  <si>
    <t>욜</t>
  </si>
  <si>
    <t>암</t>
  </si>
  <si>
    <t>옵</t>
  </si>
  <si>
    <t>욘</t>
  </si>
  <si>
    <t>미</t>
  </si>
  <si>
    <t>나</t>
  </si>
  <si>
    <t>합</t>
  </si>
  <si>
    <t>습</t>
  </si>
  <si>
    <t>학</t>
  </si>
  <si>
    <t>슥</t>
  </si>
  <si>
    <t>말</t>
  </si>
  <si>
    <t>마</t>
  </si>
  <si>
    <t>막</t>
  </si>
  <si>
    <t>눅</t>
  </si>
  <si>
    <t>요</t>
  </si>
  <si>
    <t>행</t>
  </si>
  <si>
    <t>롬</t>
  </si>
  <si>
    <t>고전</t>
  </si>
  <si>
    <t>고후</t>
  </si>
  <si>
    <t>갈</t>
  </si>
  <si>
    <t>엡</t>
  </si>
  <si>
    <t>빌</t>
  </si>
  <si>
    <t>골</t>
  </si>
  <si>
    <t>살전</t>
  </si>
  <si>
    <t>살후</t>
  </si>
  <si>
    <t>딤전</t>
  </si>
  <si>
    <t>딤후</t>
  </si>
  <si>
    <t>딛</t>
  </si>
  <si>
    <t>몬</t>
  </si>
  <si>
    <t>히</t>
  </si>
  <si>
    <t>약</t>
  </si>
  <si>
    <t>벧전</t>
  </si>
  <si>
    <t>벧후</t>
  </si>
  <si>
    <t>요일</t>
  </si>
  <si>
    <t>요이</t>
  </si>
  <si>
    <t>요삼</t>
  </si>
  <si>
    <t>유</t>
  </si>
  <si>
    <t>계</t>
  </si>
  <si>
    <t>출애굽기</t>
  </si>
  <si>
    <t>레위기</t>
  </si>
  <si>
    <t>민수기</t>
  </si>
  <si>
    <t>신명기</t>
  </si>
  <si>
    <t>여호수아</t>
  </si>
  <si>
    <t>사사기</t>
  </si>
  <si>
    <t>룻기</t>
  </si>
  <si>
    <t>사무엘상</t>
  </si>
  <si>
    <t>사무엘하</t>
  </si>
  <si>
    <t>열왕기상</t>
  </si>
  <si>
    <t>열왕기하</t>
  </si>
  <si>
    <t>역대상</t>
  </si>
  <si>
    <t>역대하</t>
  </si>
  <si>
    <t>에스라</t>
  </si>
  <si>
    <t>느헤미야</t>
  </si>
  <si>
    <t>에스더</t>
  </si>
  <si>
    <t>욥기</t>
  </si>
  <si>
    <t>시편</t>
  </si>
  <si>
    <t>잠언</t>
  </si>
  <si>
    <t>전도서</t>
  </si>
  <si>
    <t>아가</t>
  </si>
  <si>
    <t>이사야</t>
  </si>
  <si>
    <t>예레미야</t>
  </si>
  <si>
    <t>예레미야애가</t>
  </si>
  <si>
    <t>에스겔</t>
  </si>
  <si>
    <t>다니엘</t>
  </si>
  <si>
    <t>호세아</t>
  </si>
  <si>
    <t>요엘</t>
  </si>
  <si>
    <t>아모스</t>
  </si>
  <si>
    <t>오바댜</t>
  </si>
  <si>
    <t>요나</t>
  </si>
  <si>
    <t>미가</t>
  </si>
  <si>
    <t>나훔</t>
  </si>
  <si>
    <t>하박국</t>
  </si>
  <si>
    <t>스바냐</t>
  </si>
  <si>
    <t>학개</t>
  </si>
  <si>
    <t>스가랴</t>
  </si>
  <si>
    <t>말라기</t>
  </si>
  <si>
    <t>마태복음</t>
  </si>
  <si>
    <t>마가복음</t>
  </si>
  <si>
    <t>누가복음</t>
  </si>
  <si>
    <t>요한복음</t>
  </si>
  <si>
    <t>사도행전</t>
  </si>
  <si>
    <t>로마서</t>
  </si>
  <si>
    <t>고린도전서</t>
  </si>
  <si>
    <t>고린도후서</t>
  </si>
  <si>
    <t>갈라디아서</t>
  </si>
  <si>
    <t>에베소서</t>
  </si>
  <si>
    <t>빌립보서</t>
  </si>
  <si>
    <t>골로새서</t>
  </si>
  <si>
    <t>데살로니가전서</t>
  </si>
  <si>
    <t>데살로니가후서</t>
  </si>
  <si>
    <t>디모데전서</t>
  </si>
  <si>
    <t>디모데후서</t>
  </si>
  <si>
    <t>디도서</t>
  </si>
  <si>
    <t>빌레몬서</t>
  </si>
  <si>
    <t>히브리서</t>
  </si>
  <si>
    <t>야고보서</t>
  </si>
  <si>
    <t>베드로전서</t>
  </si>
  <si>
    <t>베드로후서</t>
  </si>
  <si>
    <t>요한일서</t>
  </si>
  <si>
    <t>요한이서</t>
  </si>
  <si>
    <t>요한삼서</t>
  </si>
  <si>
    <t>유다서</t>
  </si>
  <si>
    <t>요한계시록</t>
  </si>
  <si>
    <t>오픈마인드 저자</t>
  </si>
  <si>
    <t>"주님 내가 여기 있사오니"</t>
  </si>
  <si>
    <t>가족</t>
  </si>
  <si>
    <t>석동윤</t>
  </si>
  <si>
    <t>최수나</t>
  </si>
  <si>
    <t>김성건</t>
  </si>
  <si>
    <t>구희근</t>
  </si>
  <si>
    <t>박지용</t>
  </si>
  <si>
    <t>전원</t>
  </si>
  <si>
    <t>박건우</t>
  </si>
  <si>
    <t>박영금</t>
  </si>
  <si>
    <t>정창원</t>
  </si>
  <si>
    <t>송인영</t>
  </si>
  <si>
    <t>김동혁</t>
  </si>
  <si>
    <t>박혜진</t>
  </si>
  <si>
    <t>김택형</t>
  </si>
  <si>
    <t>이승현</t>
  </si>
  <si>
    <t>김선</t>
  </si>
  <si>
    <t>서진홍</t>
  </si>
  <si>
    <t>문진홍</t>
  </si>
  <si>
    <t>권현아</t>
  </si>
  <si>
    <t>김승일</t>
  </si>
  <si>
    <t>양태규</t>
  </si>
  <si>
    <t>채민주</t>
  </si>
  <si>
    <t>최민우</t>
  </si>
  <si>
    <t>부부셀</t>
  </si>
  <si>
    <t>이다은</t>
  </si>
  <si>
    <t>바나바</t>
  </si>
  <si>
    <t>오미현</t>
  </si>
  <si>
    <t>장성영</t>
  </si>
  <si>
    <t>강민정</t>
  </si>
  <si>
    <t>가족셀</t>
  </si>
  <si>
    <t>류다희</t>
  </si>
  <si>
    <t>신하늘</t>
  </si>
  <si>
    <t>권수진</t>
  </si>
  <si>
    <t>Date</t>
  </si>
  <si>
    <t>전도</t>
  </si>
  <si>
    <t>안내</t>
  </si>
  <si>
    <t>봉헌</t>
  </si>
  <si>
    <t>부부</t>
  </si>
  <si>
    <t>영어</t>
  </si>
  <si>
    <t>전도팀 금주</t>
  </si>
  <si>
    <t>안내 금주</t>
  </si>
  <si>
    <t>안내 다음주</t>
  </si>
  <si>
    <t>봉헌 금주</t>
  </si>
  <si>
    <t>봉헌 다음주</t>
  </si>
  <si>
    <t>뒷정리 금주</t>
  </si>
  <si>
    <t>뒷정리 다음주</t>
  </si>
  <si>
    <t>순서</t>
  </si>
  <si>
    <t>공지 사항 1</t>
  </si>
  <si>
    <t>공지 사항 2</t>
  </si>
  <si>
    <t>공지 사항 3</t>
  </si>
  <si>
    <t>공지 사항 4</t>
  </si>
  <si>
    <t>공지 사항 5</t>
  </si>
  <si>
    <t>공지 사항 6</t>
  </si>
  <si>
    <t>공지 사항 7</t>
  </si>
  <si>
    <t>공지 사항 8</t>
  </si>
  <si>
    <t>공지 사항 9</t>
  </si>
  <si>
    <t>공지 사항 10</t>
  </si>
  <si>
    <t>사역팀원 모집 1</t>
  </si>
  <si>
    <t>사역팀원 모집 2</t>
  </si>
  <si>
    <t>사역팀원 모집 3</t>
  </si>
  <si>
    <t>사역팀원 모집 4</t>
  </si>
  <si>
    <t>사역팀원 모집 5</t>
  </si>
  <si>
    <t>사역팀원 모집 6</t>
  </si>
  <si>
    <t>사역팀원 모집 7</t>
  </si>
  <si>
    <t>사역팀원 모집 8</t>
  </si>
  <si>
    <t>사역팀원 모집 9</t>
  </si>
  <si>
    <t>사역팀원 모집 10</t>
  </si>
  <si>
    <t>교우동정 1</t>
  </si>
  <si>
    <t>교우동정 2</t>
  </si>
  <si>
    <t>교우동정 3</t>
  </si>
  <si>
    <t>교우동정 4</t>
  </si>
  <si>
    <t>교우동정 5</t>
  </si>
  <si>
    <t>교우동정 6</t>
  </si>
  <si>
    <t>교우동정 7</t>
  </si>
  <si>
    <t>교우동정 8</t>
  </si>
  <si>
    <t>교우동정 9</t>
  </si>
  <si>
    <t>교우동정 10</t>
  </si>
  <si>
    <t>수요 성경(책)</t>
  </si>
  <si>
    <t>수요 설교제목</t>
  </si>
  <si>
    <t>교회 사역팀</t>
  </si>
  <si>
    <t>바나바 : 새가족이 교회에 잘 정착하도록 돕는 섬김이</t>
  </si>
  <si>
    <t>찬양팀 : 싱어 및 악기</t>
  </si>
  <si>
    <t>일대일 양육자: 신앙의 기초를 다져주는 양육자</t>
  </si>
  <si>
    <t>이상임</t>
  </si>
  <si>
    <t>최성희</t>
  </si>
  <si>
    <t>찬양팀 성가대 재정부 바나바 예배준비팀 미디어팀 전도팀 예배중보기도 주일학교 중고등부 통번역팀</t>
  </si>
  <si>
    <t>성가대</t>
  </si>
  <si>
    <t>성가팀: 성가대 지휘자 및 각 파트</t>
  </si>
  <si>
    <t>전도팀: 토요시내 전도</t>
  </si>
  <si>
    <t>구약</t>
  </si>
  <si>
    <t>신약</t>
  </si>
  <si>
    <t>중고등부</t>
  </si>
  <si>
    <t>미디어팀: 디자인, 사진, 영상, 코딩, 웹디자인</t>
  </si>
  <si>
    <t>권현아 석동윤 구희근</t>
  </si>
  <si>
    <t>최수나 박지용</t>
  </si>
  <si>
    <t>박건우 송인영 전원</t>
  </si>
  <si>
    <t>박영금 김동혁</t>
  </si>
  <si>
    <t>정창원 서진홍 김승일</t>
  </si>
  <si>
    <t>김택형 이상임</t>
  </si>
  <si>
    <t>이승현 박혜진 채민주</t>
  </si>
  <si>
    <t>최성희 김선</t>
  </si>
  <si>
    <t>최민우 부부셀 바나바</t>
  </si>
  <si>
    <t>문진홍 최수나</t>
  </si>
  <si>
    <t>김성건 이다은 양태규</t>
  </si>
  <si>
    <t>박지용 박영금</t>
  </si>
  <si>
    <t>장성영 가족셀 신하늘</t>
  </si>
  <si>
    <t>김동혁 김택형</t>
  </si>
  <si>
    <t>류다희 오미현 강민정</t>
  </si>
  <si>
    <t>이상임 최성희</t>
  </si>
  <si>
    <t>권수진 중고등부 권현아</t>
  </si>
  <si>
    <t>김선 문진홍</t>
  </si>
  <si>
    <t>석동윤 구희근 박건우</t>
  </si>
  <si>
    <t>송인영 전원 정창원</t>
  </si>
  <si>
    <t/>
  </si>
  <si>
    <t>서진홍 김승일 이승현</t>
  </si>
  <si>
    <t>박혜진 채민주 최민우</t>
  </si>
  <si>
    <t>부부셀 바나바 김성건</t>
  </si>
  <si>
    <t>이다은 양태규 장성영</t>
  </si>
  <si>
    <t>가족셀 신하늘 류다희</t>
  </si>
  <si>
    <t>오미현 강민정 권수진</t>
  </si>
  <si>
    <t>중고등부 권현아 석동윤</t>
  </si>
  <si>
    <t>구희근 박건우 송인영</t>
  </si>
  <si>
    <t>전원 정창원 서진홍</t>
  </si>
  <si>
    <t>김승일 이승현 박혜진</t>
  </si>
  <si>
    <t>채민주 최민우 부부셀</t>
  </si>
  <si>
    <t>바나바 김성건 이다은</t>
  </si>
  <si>
    <t>양태규 장성영 가족셀</t>
  </si>
  <si>
    <t>신하늘 류다희 오미현</t>
  </si>
  <si>
    <t>강민정 권수진 중고등부</t>
  </si>
  <si>
    <t xml:space="preserve">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</si>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</sst>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ont="1"/>
    <xf numFmtId="0" fontId="0" fillId="2" borderId="0" xfId="0" applyFill="1" applyAlignment="1">
      <alignment vertical="top"/>
    </xf>
    <xf numFmtId="0" fontId="0" fillId="2" borderId="0" xfId="0" applyFont="1" applyFill="1" applyAlignment="1">
      <alignment vertical="top"/>
    </xf>
    <xf numFmtId="0" fontId="0" fillId="2" borderId="0" xfId="0" applyFill="1" applyAlignment="1">
      <alignment horizontal="left" vertical="top"/>
    </xf>
    <xf numFmtId="14" fontId="0" fillId="2" borderId="0" xfId="0" applyNumberFormat="1" applyFill="1" applyAlignment="1">
      <alignment vertical="top"/>
    </xf>
    <xf numFmtId="0" fontId="0" fillId="3" borderId="1" xfId="0" applyFill="1" applyBorder="1" applyAlignment="1" applyProtection="1">
      <alignment horizontal="left" vertical="top"/>
      <protection locked="0"/>
    </xf>
    <xf numFmtId="0" fontId="0" fillId="3" borderId="1" xfId="0" applyFont="1" applyFill="1" applyBorder="1" applyAlignment="1" applyProtection="1">
      <alignment horizontal="left" vertical="top"/>
      <protection locked="0"/>
    </xf>
    <xf numFmtId="0" fontId="0" fillId="3" borderId="3" xfId="0" applyFont="1" applyFill="1" applyBorder="1" applyAlignment="1" applyProtection="1">
      <alignment horizontal="left" vertical="top"/>
      <protection locked="0"/>
    </xf>
    <xf numFmtId="0" fontId="0" fillId="3" borderId="1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/>
    <xf numFmtId="0" fontId="2" fillId="4" borderId="0" xfId="0" applyFont="1" applyFill="1"/>
    <xf numFmtId="0" fontId="2" fillId="4" borderId="1" xfId="0" applyFont="1" applyFill="1" applyBorder="1"/>
    <xf numFmtId="0" fontId="1" fillId="4" borderId="1" xfId="0" applyFont="1" applyFill="1" applyBorder="1"/>
    <xf numFmtId="14" fontId="2" fillId="0" borderId="1" xfId="0" applyNumberFormat="1" applyFont="1" applyFill="1" applyBorder="1"/>
    <xf numFmtId="14" fontId="2" fillId="0" borderId="0" xfId="0" applyNumberFormat="1" applyFont="1" applyFill="1"/>
    <xf numFmtId="0" fontId="1" fillId="0" borderId="0" xfId="0" applyFont="1" applyFill="1"/>
    <xf numFmtId="0" fontId="0" fillId="3" borderId="2" xfId="0" applyFont="1" applyFill="1" applyBorder="1" applyAlignment="1" applyProtection="1">
      <alignment horizontal="left" vertical="top"/>
      <protection locked="0"/>
    </xf>
    <xf numFmtId="0" fontId="0" fillId="3" borderId="1" xfId="0" applyFont="1" applyFill="1" applyBorder="1" applyAlignment="1" applyProtection="1">
      <alignment vertical="top"/>
      <protection locked="0"/>
    </xf>
    <xf numFmtId="0" fontId="0" fillId="2" borderId="0" xfId="0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5" borderId="1" xfId="0" applyFont="1" applyFill="1" applyBorder="1" applyAlignment="1">
      <alignment horizontal="center" vertical="top"/>
    </xf>
  </cellXfs>
  <cellStyles count="1"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158750</xdr:rowOff>
    </xdr:from>
    <xdr:to>
      <xdr:col>13</xdr:col>
      <xdr:colOff>266700</xdr:colOff>
      <xdr:row>4</xdr:row>
      <xdr:rowOff>76200</xdr:rowOff>
    </xdr:to>
    <xdr:sp macro="[0]!_xludf.Past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4500" y="158750"/>
          <a:ext cx="1409700" cy="654050"/>
        </a:xfrm>
        <a:prstGeom prst="bevel">
          <a:avLst/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PASTE</a:t>
          </a:r>
        </a:p>
      </xdr:txBody>
    </xdr:sp>
    <xdr:clientData/>
  </xdr:twoCellAnchor>
  <xdr:twoCellAnchor>
    <xdr:from>
      <xdr:col>14</xdr:col>
      <xdr:colOff>57150</xdr:colOff>
      <xdr:row>0</xdr:row>
      <xdr:rowOff>158750</xdr:rowOff>
    </xdr:from>
    <xdr:to>
      <xdr:col>17</xdr:col>
      <xdr:colOff>457200</xdr:colOff>
      <xdr:row>4</xdr:row>
      <xdr:rowOff>76200</xdr:rowOff>
    </xdr:to>
    <xdr:sp macro="[0]!Export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061200" y="158750"/>
          <a:ext cx="1409700" cy="65405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EXPORT</a:t>
          </a:r>
        </a:p>
      </xdr:txBody>
    </xdr:sp>
    <xdr:clientData/>
  </xdr:twoCellAnchor>
  <xdr:twoCellAnchor>
    <xdr:from>
      <xdr:col>5</xdr:col>
      <xdr:colOff>285750</xdr:colOff>
      <xdr:row>0</xdr:row>
      <xdr:rowOff>158750</xdr:rowOff>
    </xdr:from>
    <xdr:to>
      <xdr:col>9</xdr:col>
      <xdr:colOff>88900</xdr:colOff>
      <xdr:row>4</xdr:row>
      <xdr:rowOff>76200</xdr:rowOff>
    </xdr:to>
    <xdr:sp macro="[0]!_xludf.Copy" textlink="">
      <xdr:nvSpPr>
        <xdr:cNvPr id="6" name="Bevel 1">
          <a:extLst>
            <a:ext uri="{FF2B5EF4-FFF2-40B4-BE49-F238E27FC236}">
              <a16:creationId xmlns:a16="http://schemas.microsoft.com/office/drawing/2014/main" id="{7F7F6D3F-457B-4E31-968F-C68DD5249F1A}"/>
            </a:ext>
          </a:extLst>
        </xdr:cNvPr>
        <xdr:cNvSpPr/>
      </xdr:nvSpPr>
      <xdr:spPr>
        <a:xfrm>
          <a:off x="4032250" y="158750"/>
          <a:ext cx="1377950" cy="654050"/>
        </a:xfrm>
        <a:prstGeom prst="bevel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COPY</a:t>
          </a:r>
        </a:p>
      </xdr:txBody>
    </xdr:sp>
    <xdr:clientData/>
  </xdr:twoCellAnchor>
  <xdr:twoCellAnchor>
    <xdr:from>
      <xdr:col>17</xdr:col>
      <xdr:colOff>584200</xdr:colOff>
      <xdr:row>0</xdr:row>
      <xdr:rowOff>152400</xdr:rowOff>
    </xdr:from>
    <xdr:to>
      <xdr:col>20</xdr:col>
      <xdr:colOff>165100</xdr:colOff>
      <xdr:row>4</xdr:row>
      <xdr:rowOff>69850</xdr:rowOff>
    </xdr:to>
    <xdr:sp macro="[0]!Form" textlink="">
      <xdr:nvSpPr>
        <xdr:cNvPr id="7" name="Bevel 2">
          <a:extLst>
            <a:ext uri="{FF2B5EF4-FFF2-40B4-BE49-F238E27FC236}">
              <a16:creationId xmlns:a16="http://schemas.microsoft.com/office/drawing/2014/main" id="{220D4968-73D9-4A2F-8650-10B2D222733C}"/>
            </a:ext>
          </a:extLst>
        </xdr:cNvPr>
        <xdr:cNvSpPr/>
      </xdr:nvSpPr>
      <xdr:spPr>
        <a:xfrm>
          <a:off x="8597900" y="152400"/>
          <a:ext cx="1409700" cy="65405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1"/>
  <sheetViews>
    <sheetView tabSelected="1" workbookViewId="0"/>
  </sheetViews>
  <sheetFormatPr defaultRowHeight="14.5" x14ac:dyDescent="0.35"/>
  <cols>
    <col min="1" max="1" width="15.81640625" style="2" bestFit="1" customWidth="1"/>
    <col min="2" max="2" width="24.08984375" style="4" bestFit="1" customWidth="1"/>
    <col min="3" max="3" width="2.81640625" style="2" bestFit="1" customWidth="1"/>
    <col min="4" max="4" width="8.08984375" style="2" bestFit="1" customWidth="1"/>
    <col min="5" max="5" width="2.81640625" style="2" bestFit="1" customWidth="1"/>
    <col min="6" max="6" width="8.08984375" style="2" bestFit="1" customWidth="1"/>
    <col min="7" max="17" width="4.81640625" style="2" bestFit="1" customWidth="1"/>
    <col min="18" max="16384" width="8.7265625" style="2"/>
  </cols>
  <sheetData>
    <row r="1" spans="1:21" x14ac:dyDescent="0.35">
      <c r="A1" s="2" t="s">
        <v>1</v>
      </c>
      <c r="B1" s="6">
        <f ca="1">MONTH(TODAY()+8-WEEKDAY(TODAY()))</f>
        <v>5</v>
      </c>
      <c r="I1" s="3"/>
      <c r="L1" s="3"/>
      <c r="O1" s="3"/>
      <c r="R1" s="3"/>
      <c r="U1" s="3"/>
    </row>
    <row r="2" spans="1:21" x14ac:dyDescent="0.35">
      <c r="A2" s="2" t="s">
        <v>2</v>
      </c>
      <c r="B2" s="6">
        <f ca="1">DAY(TODAY()+8-WEEKDAY(TODAY()))</f>
        <v>7</v>
      </c>
    </row>
    <row r="3" spans="1:21" x14ac:dyDescent="0.35">
      <c r="A3" s="2" t="s">
        <v>3</v>
      </c>
      <c r="B3" s="6">
        <f ca="1">YEAR(TODAY()+8-WEEKDAY(TODAY()))</f>
        <v>2017</v>
      </c>
    </row>
    <row r="4" spans="1:21" x14ac:dyDescent="0.35">
      <c r="A4" s="2" t="s">
        <v>5</v>
      </c>
      <c r="B4" s="6" t="s">
        <v>6</v>
      </c>
    </row>
    <row r="5" spans="1:21" x14ac:dyDescent="0.35">
      <c r="A5" s="2" t="s">
        <v>77</v>
      </c>
      <c r="B5" s="6" t="s">
        <v>85</v>
      </c>
    </row>
    <row r="6" spans="1:21" x14ac:dyDescent="0.35">
      <c r="A6" s="2" t="s">
        <v>78</v>
      </c>
      <c r="B6" s="6" t="s">
        <v>86</v>
      </c>
    </row>
    <row r="7" spans="1:21" x14ac:dyDescent="0.35">
      <c r="A7" s="2" t="s">
        <v>308</v>
      </c>
      <c r="B7" s="7"/>
      <c r="H7" s="19"/>
      <c r="I7" s="19"/>
      <c r="J7" s="19"/>
      <c r="K7" s="19"/>
      <c r="L7" s="20" t="s">
        <v>311</v>
      </c>
      <c r="M7" s="19"/>
      <c r="N7" s="19"/>
      <c r="O7" s="19"/>
      <c r="P7" s="19"/>
      <c r="Q7" s="19"/>
    </row>
    <row r="8" spans="1:21" s="3" customFormat="1" x14ac:dyDescent="0.35">
      <c r="A8" s="3" t="s">
        <v>84</v>
      </c>
      <c r="B8" s="17" t="s">
        <v>87</v>
      </c>
      <c r="C8" s="18">
        <v>1</v>
      </c>
      <c r="D8" s="3" t="s">
        <v>92</v>
      </c>
      <c r="E8" s="18">
        <v>1</v>
      </c>
      <c r="F8" s="3" t="s">
        <v>93</v>
      </c>
      <c r="H8" s="21" t="s">
        <v>87</v>
      </c>
      <c r="I8" s="21" t="s">
        <v>91</v>
      </c>
      <c r="J8" s="21" t="s">
        <v>95</v>
      </c>
      <c r="K8" s="21" t="s">
        <v>90</v>
      </c>
      <c r="L8" s="21" t="s">
        <v>72</v>
      </c>
      <c r="M8" s="21" t="s">
        <v>73</v>
      </c>
      <c r="N8" s="21" t="s">
        <v>96</v>
      </c>
      <c r="O8" s="22" t="s">
        <v>97</v>
      </c>
      <c r="P8" s="22" t="s">
        <v>98</v>
      </c>
      <c r="Q8" s="22" t="s">
        <v>99</v>
      </c>
    </row>
    <row r="9" spans="1:21" s="3" customFormat="1" x14ac:dyDescent="0.35">
      <c r="A9" s="3" t="s">
        <v>84</v>
      </c>
      <c r="B9" s="17" t="str">
        <f>B8</f>
        <v>창</v>
      </c>
      <c r="C9" s="18">
        <f>C8</f>
        <v>1</v>
      </c>
      <c r="D9" s="3" t="s">
        <v>92</v>
      </c>
      <c r="E9" s="18">
        <f>E8</f>
        <v>1</v>
      </c>
      <c r="F9" s="3" t="s">
        <v>94</v>
      </c>
      <c r="H9" s="21" t="s">
        <v>100</v>
      </c>
      <c r="I9" s="21" t="s">
        <v>101</v>
      </c>
      <c r="J9" s="21" t="s">
        <v>102</v>
      </c>
      <c r="K9" s="21" t="s">
        <v>103</v>
      </c>
      <c r="L9" s="21" t="s">
        <v>104</v>
      </c>
      <c r="M9" s="21" t="s">
        <v>105</v>
      </c>
      <c r="N9" s="21" t="s">
        <v>106</v>
      </c>
      <c r="O9" s="21" t="s">
        <v>107</v>
      </c>
      <c r="P9" s="21" t="s">
        <v>108</v>
      </c>
      <c r="Q9" s="21" t="s">
        <v>109</v>
      </c>
    </row>
    <row r="10" spans="1:21" s="3" customFormat="1" x14ac:dyDescent="0.35">
      <c r="A10" s="3" t="s">
        <v>0</v>
      </c>
      <c r="B10" s="7"/>
      <c r="H10" s="21" t="s">
        <v>110</v>
      </c>
      <c r="I10" s="21" t="s">
        <v>111</v>
      </c>
      <c r="J10" s="22" t="s">
        <v>112</v>
      </c>
      <c r="K10" s="22" t="s">
        <v>113</v>
      </c>
      <c r="L10" s="22" t="s">
        <v>114</v>
      </c>
      <c r="M10" s="21" t="s">
        <v>115</v>
      </c>
      <c r="N10" s="21" t="s">
        <v>116</v>
      </c>
      <c r="O10" s="21" t="s">
        <v>4</v>
      </c>
      <c r="P10" s="21" t="s">
        <v>117</v>
      </c>
      <c r="Q10" s="21" t="s">
        <v>118</v>
      </c>
    </row>
    <row r="11" spans="1:21" x14ac:dyDescent="0.35">
      <c r="A11" s="2" t="s">
        <v>79</v>
      </c>
      <c r="B11" s="7" t="s">
        <v>221</v>
      </c>
      <c r="H11" s="21" t="s">
        <v>119</v>
      </c>
      <c r="I11" s="21" t="s">
        <v>120</v>
      </c>
      <c r="J11" s="21" t="s">
        <v>121</v>
      </c>
      <c r="K11" s="21" t="s">
        <v>122</v>
      </c>
      <c r="L11" s="21" t="s">
        <v>123</v>
      </c>
      <c r="M11" s="21" t="s">
        <v>124</v>
      </c>
      <c r="N11" s="21" t="s">
        <v>125</v>
      </c>
      <c r="O11" s="21" t="s">
        <v>126</v>
      </c>
      <c r="P11" s="21" t="s">
        <v>127</v>
      </c>
      <c r="Q11" s="21"/>
    </row>
    <row r="12" spans="1:21" x14ac:dyDescent="0.35">
      <c r="A12" s="2" t="s">
        <v>80</v>
      </c>
      <c r="B12" s="6" t="s">
        <v>6</v>
      </c>
      <c r="H12" s="19"/>
      <c r="I12" s="19"/>
      <c r="J12" s="19"/>
      <c r="K12" s="19"/>
      <c r="L12" s="19"/>
      <c r="M12" s="19"/>
      <c r="N12" s="19"/>
      <c r="O12" s="19"/>
      <c r="P12" s="19"/>
      <c r="Q12" s="19"/>
    </row>
    <row r="13" spans="1:21" x14ac:dyDescent="0.35">
      <c r="A13" s="2" t="s">
        <v>81</v>
      </c>
      <c r="B13" s="8" t="s">
        <v>83</v>
      </c>
      <c r="H13" s="19"/>
      <c r="I13" s="19"/>
      <c r="J13" s="19"/>
      <c r="K13" s="19"/>
      <c r="L13" s="20" t="s">
        <v>312</v>
      </c>
      <c r="M13" s="19"/>
      <c r="N13" s="19"/>
      <c r="O13" s="19"/>
      <c r="P13" s="19"/>
      <c r="Q13" s="19"/>
    </row>
    <row r="14" spans="1:21" x14ac:dyDescent="0.35">
      <c r="A14" s="2" t="s">
        <v>82</v>
      </c>
      <c r="B14" s="6" t="s">
        <v>6</v>
      </c>
      <c r="H14" s="21" t="s">
        <v>128</v>
      </c>
      <c r="I14" s="21" t="s">
        <v>129</v>
      </c>
      <c r="J14" s="21" t="s">
        <v>130</v>
      </c>
      <c r="K14" s="21" t="s">
        <v>131</v>
      </c>
      <c r="L14" s="21" t="s">
        <v>132</v>
      </c>
      <c r="M14" s="21" t="s">
        <v>133</v>
      </c>
      <c r="N14" s="21" t="s">
        <v>134</v>
      </c>
      <c r="O14" s="21" t="s">
        <v>135</v>
      </c>
      <c r="P14" s="21" t="s">
        <v>136</v>
      </c>
      <c r="Q14" s="21" t="s">
        <v>137</v>
      </c>
    </row>
    <row r="15" spans="1:21" x14ac:dyDescent="0.35">
      <c r="A15" s="2" t="s">
        <v>261</v>
      </c>
      <c r="B15" s="6" t="str">
        <f ca="1">INDIRECT("Rota!" &amp; "B" &amp; ROW(INDEX(Rota!$A$2:$A$9999,MATCH(TODAY()+8-WEEKDAY(TODAY()),Rota!$A$2:$A$9999,0))))</f>
        <v>박건우 송인영 전원</v>
      </c>
      <c r="F15" s="5"/>
      <c r="H15" s="21" t="s">
        <v>138</v>
      </c>
      <c r="I15" s="21" t="s">
        <v>139</v>
      </c>
      <c r="J15" s="21" t="s">
        <v>140</v>
      </c>
      <c r="K15" s="21" t="s">
        <v>141</v>
      </c>
      <c r="L15" s="21" t="s">
        <v>142</v>
      </c>
      <c r="M15" s="21" t="s">
        <v>143</v>
      </c>
      <c r="N15" s="21" t="s">
        <v>144</v>
      </c>
      <c r="O15" s="21" t="s">
        <v>145</v>
      </c>
      <c r="P15" s="21" t="s">
        <v>146</v>
      </c>
      <c r="Q15" s="21" t="s">
        <v>147</v>
      </c>
    </row>
    <row r="16" spans="1:21" x14ac:dyDescent="0.35">
      <c r="A16" s="2" t="s">
        <v>74</v>
      </c>
      <c r="B16" s="6" t="str">
        <f ca="1">INDIRECT("Rota!" &amp; "B" &amp; 1+ROW(INDEX(Rota!$A$2:$A$9999,MATCH(TODAY()+8-WEEKDAY(TODAY()),Rota!$A$2:$A$9999,0))))</f>
        <v>정창원 서진홍 김승일</v>
      </c>
      <c r="H16" s="21" t="s">
        <v>148</v>
      </c>
      <c r="I16" s="21" t="s">
        <v>149</v>
      </c>
      <c r="J16" s="21" t="s">
        <v>150</v>
      </c>
      <c r="K16" s="21" t="s">
        <v>151</v>
      </c>
      <c r="L16" s="21" t="s">
        <v>152</v>
      </c>
      <c r="M16" s="21" t="s">
        <v>153</v>
      </c>
      <c r="N16" s="21" t="s">
        <v>154</v>
      </c>
      <c r="O16" s="22"/>
      <c r="P16" s="22"/>
      <c r="Q16" s="22"/>
    </row>
    <row r="17" spans="1:9" x14ac:dyDescent="0.35">
      <c r="A17" s="2" t="s">
        <v>262</v>
      </c>
      <c r="B17" s="6" t="str">
        <f ca="1">INDIRECT("Rota!" &amp; "C" &amp; ROW(INDEX(Rota!$A$2:$A$9999,MATCH(TODAY()+8-WEEKDAY(TODAY()),Rota!$A$2:$A$9999,0))))</f>
        <v>박영금 김동혁</v>
      </c>
    </row>
    <row r="18" spans="1:9" x14ac:dyDescent="0.35">
      <c r="A18" s="2" t="s">
        <v>263</v>
      </c>
      <c r="B18" s="6" t="str">
        <f ca="1">INDIRECT("Rota!" &amp; "C" &amp; 1+ROW(INDEX(Rota!$A$2:$A$9999,MATCH(TODAY()+8-WEEKDAY(TODAY()),Rota!$A$2:$A$9999,0))))</f>
        <v>김택형 이상임</v>
      </c>
    </row>
    <row r="19" spans="1:9" x14ac:dyDescent="0.35">
      <c r="A19" s="2" t="s">
        <v>264</v>
      </c>
      <c r="B19" s="6" t="str">
        <f ca="1">INDIRECT("Rota!"&amp;"D"&amp;ROW(INDEX(Rota!$A$2:$A$9999,MATCH(TODAY()+8-WEEKDAY(TODAY()),Rota!$A$2:$A$9999,0))))</f>
        <v>전원</v>
      </c>
    </row>
    <row r="20" spans="1:9" x14ac:dyDescent="0.35">
      <c r="A20" s="2" t="s">
        <v>265</v>
      </c>
      <c r="B20" s="6" t="str">
        <f ca="1">INDIRECT("Rota!"&amp;"D"&amp;1+ROW(INDEX(Rota!$A$2:$A$9999,MATCH(TODAY()+8-WEEKDAY(TODAY()),Rota!$A$2:$A$9999,0))))</f>
        <v>정창원</v>
      </c>
    </row>
    <row r="21" spans="1:9" x14ac:dyDescent="0.35">
      <c r="A21" s="2" t="s">
        <v>266</v>
      </c>
      <c r="B21" s="6" t="s">
        <v>222</v>
      </c>
    </row>
    <row r="22" spans="1:9" x14ac:dyDescent="0.35">
      <c r="A22" s="2" t="s">
        <v>267</v>
      </c>
      <c r="B22" s="6" t="s">
        <v>222</v>
      </c>
    </row>
    <row r="23" spans="1:9" s="3" customFormat="1" x14ac:dyDescent="0.35">
      <c r="A23" s="3" t="s">
        <v>299</v>
      </c>
      <c r="B23" s="17" t="s">
        <v>87</v>
      </c>
      <c r="C23" s="18">
        <v>1</v>
      </c>
      <c r="D23" s="3" t="s">
        <v>92</v>
      </c>
      <c r="E23" s="18">
        <v>1</v>
      </c>
      <c r="F23" s="3" t="s">
        <v>93</v>
      </c>
    </row>
    <row r="24" spans="1:9" s="3" customFormat="1" x14ac:dyDescent="0.35">
      <c r="A24" s="3" t="s">
        <v>299</v>
      </c>
      <c r="B24" s="17" t="s">
        <v>87</v>
      </c>
      <c r="C24" s="18">
        <f>C23</f>
        <v>1</v>
      </c>
      <c r="D24" s="3" t="s">
        <v>92</v>
      </c>
      <c r="E24" s="18">
        <f>E23</f>
        <v>1</v>
      </c>
      <c r="F24" s="3" t="s">
        <v>94</v>
      </c>
    </row>
    <row r="25" spans="1:9" s="3" customFormat="1" x14ac:dyDescent="0.35">
      <c r="A25" s="3" t="s">
        <v>300</v>
      </c>
      <c r="B25" s="7"/>
    </row>
    <row r="26" spans="1:9" x14ac:dyDescent="0.35">
      <c r="A26" s="3" t="s">
        <v>301</v>
      </c>
      <c r="B26" s="7" t="s">
        <v>307</v>
      </c>
    </row>
    <row r="27" spans="1:9" x14ac:dyDescent="0.35">
      <c r="A27" s="3" t="s">
        <v>279</v>
      </c>
      <c r="B27" s="7" t="s">
        <v>302</v>
      </c>
      <c r="I27" s="3"/>
    </row>
    <row r="28" spans="1:9" x14ac:dyDescent="0.35">
      <c r="A28" s="3" t="s">
        <v>280</v>
      </c>
      <c r="B28" s="7" t="s">
        <v>303</v>
      </c>
      <c r="I28" s="3"/>
    </row>
    <row r="29" spans="1:9" x14ac:dyDescent="0.35">
      <c r="A29" s="3" t="s">
        <v>281</v>
      </c>
      <c r="B29" s="7" t="s">
        <v>309</v>
      </c>
      <c r="I29" s="3"/>
    </row>
    <row r="30" spans="1:9" x14ac:dyDescent="0.35">
      <c r="A30" s="3" t="s">
        <v>282</v>
      </c>
      <c r="B30" s="7" t="s">
        <v>314</v>
      </c>
      <c r="I30" s="3"/>
    </row>
    <row r="31" spans="1:9" x14ac:dyDescent="0.35">
      <c r="A31" s="3" t="s">
        <v>283</v>
      </c>
      <c r="B31" s="7" t="s">
        <v>310</v>
      </c>
      <c r="I31" s="3"/>
    </row>
    <row r="32" spans="1:9" x14ac:dyDescent="0.35">
      <c r="A32" s="3" t="s">
        <v>284</v>
      </c>
      <c r="B32" s="7" t="s">
        <v>304</v>
      </c>
      <c r="I32" s="3"/>
    </row>
    <row r="33" spans="1:9" x14ac:dyDescent="0.35">
      <c r="A33" s="3" t="s">
        <v>285</v>
      </c>
      <c r="B33" s="7"/>
      <c r="I33" s="3"/>
    </row>
    <row r="34" spans="1:9" x14ac:dyDescent="0.35">
      <c r="A34" s="3" t="s">
        <v>286</v>
      </c>
      <c r="B34" s="7"/>
      <c r="I34" s="3"/>
    </row>
    <row r="35" spans="1:9" x14ac:dyDescent="0.35">
      <c r="A35" s="3" t="s">
        <v>287</v>
      </c>
      <c r="B35" s="7"/>
      <c r="I35" s="3"/>
    </row>
    <row r="36" spans="1:9" x14ac:dyDescent="0.35">
      <c r="A36" s="3" t="s">
        <v>288</v>
      </c>
      <c r="B36" s="7"/>
      <c r="I36" s="3"/>
    </row>
    <row r="37" spans="1:9" x14ac:dyDescent="0.35">
      <c r="A37" s="3" t="s">
        <v>269</v>
      </c>
      <c r="B37" s="7"/>
    </row>
    <row r="38" spans="1:9" x14ac:dyDescent="0.35">
      <c r="A38" s="3" t="s">
        <v>270</v>
      </c>
      <c r="B38" s="7"/>
    </row>
    <row r="39" spans="1:9" x14ac:dyDescent="0.35">
      <c r="A39" s="3" t="s">
        <v>271</v>
      </c>
      <c r="B39" s="7"/>
    </row>
    <row r="40" spans="1:9" x14ac:dyDescent="0.35">
      <c r="A40" s="3" t="s">
        <v>272</v>
      </c>
      <c r="B40" s="7"/>
    </row>
    <row r="41" spans="1:9" x14ac:dyDescent="0.35">
      <c r="A41" s="3" t="s">
        <v>273</v>
      </c>
      <c r="B41" s="7"/>
    </row>
    <row r="42" spans="1:9" x14ac:dyDescent="0.35">
      <c r="A42" s="3" t="s">
        <v>274</v>
      </c>
      <c r="B42" s="7"/>
    </row>
    <row r="43" spans="1:9" x14ac:dyDescent="0.35">
      <c r="A43" s="3" t="s">
        <v>275</v>
      </c>
      <c r="B43" s="7"/>
    </row>
    <row r="44" spans="1:9" x14ac:dyDescent="0.35">
      <c r="A44" s="3" t="s">
        <v>276</v>
      </c>
      <c r="B44" s="7"/>
    </row>
    <row r="45" spans="1:9" x14ac:dyDescent="0.35">
      <c r="A45" s="3" t="s">
        <v>277</v>
      </c>
      <c r="B45" s="7"/>
    </row>
    <row r="46" spans="1:9" x14ac:dyDescent="0.35">
      <c r="A46" s="3" t="s">
        <v>278</v>
      </c>
      <c r="B46" s="7"/>
    </row>
    <row r="47" spans="1:9" x14ac:dyDescent="0.35">
      <c r="A47" s="3" t="s">
        <v>289</v>
      </c>
      <c r="B47" s="7"/>
    </row>
    <row r="48" spans="1:9" x14ac:dyDescent="0.35">
      <c r="A48" s="3" t="s">
        <v>290</v>
      </c>
      <c r="B48" s="7"/>
    </row>
    <row r="49" spans="1:2" x14ac:dyDescent="0.35">
      <c r="A49" s="3" t="s">
        <v>291</v>
      </c>
      <c r="B49" s="7"/>
    </row>
    <row r="50" spans="1:2" x14ac:dyDescent="0.35">
      <c r="A50" s="3" t="s">
        <v>292</v>
      </c>
      <c r="B50" s="7"/>
    </row>
    <row r="51" spans="1:2" x14ac:dyDescent="0.35">
      <c r="A51" s="3" t="s">
        <v>293</v>
      </c>
      <c r="B51" s="7"/>
    </row>
    <row r="52" spans="1:2" x14ac:dyDescent="0.35">
      <c r="A52" s="3" t="s">
        <v>294</v>
      </c>
      <c r="B52" s="7"/>
    </row>
    <row r="53" spans="1:2" x14ac:dyDescent="0.35">
      <c r="A53" s="3" t="s">
        <v>295</v>
      </c>
      <c r="B53" s="7"/>
    </row>
    <row r="54" spans="1:2" x14ac:dyDescent="0.35">
      <c r="A54" s="3" t="s">
        <v>296</v>
      </c>
      <c r="B54" s="7"/>
    </row>
    <row r="55" spans="1:2" x14ac:dyDescent="0.35">
      <c r="A55" s="3" t="s">
        <v>297</v>
      </c>
      <c r="B55" s="7"/>
    </row>
    <row r="56" spans="1:2" x14ac:dyDescent="0.35">
      <c r="A56" s="3" t="s">
        <v>298</v>
      </c>
      <c r="B56" s="7"/>
    </row>
    <row r="57" spans="1:2" x14ac:dyDescent="0.35">
      <c r="A57" s="3" t="s">
        <v>75</v>
      </c>
      <c r="B57" s="7"/>
    </row>
    <row r="58" spans="1:2" x14ac:dyDescent="0.35">
      <c r="A58" s="3" t="s">
        <v>220</v>
      </c>
      <c r="B58" s="7" t="s">
        <v>6</v>
      </c>
    </row>
    <row r="59" spans="1:2" x14ac:dyDescent="0.35">
      <c r="A59" s="3" t="s">
        <v>76</v>
      </c>
      <c r="B59" s="9"/>
    </row>
    <row r="61" spans="1:2" x14ac:dyDescent="0.35">
      <c r="A61" s="5"/>
    </row>
  </sheetData>
  <sheetProtection selectLockedCells="1"/>
  <dataConsolidate/>
  <conditionalFormatting sqref="C8:C9 E8:E9 B1:B22 B57:B59">
    <cfRule type="containsBlanks" dxfId="8" priority="11">
      <formula>LEN(TRIM(B1))=0</formula>
    </cfRule>
  </conditionalFormatting>
  <conditionalFormatting sqref="B26 B33:B36">
    <cfRule type="containsBlanks" dxfId="7" priority="9">
      <formula>LEN(TRIM(B26))=0</formula>
    </cfRule>
  </conditionalFormatting>
  <conditionalFormatting sqref="B37:B46">
    <cfRule type="containsBlanks" dxfId="6" priority="8">
      <formula>LEN(TRIM(B37))=0</formula>
    </cfRule>
  </conditionalFormatting>
  <conditionalFormatting sqref="B47:B56">
    <cfRule type="containsBlanks" dxfId="5" priority="7">
      <formula>LEN(TRIM(B47))=0</formula>
    </cfRule>
  </conditionalFormatting>
  <conditionalFormatting sqref="C23:C24 E23 B23:B25">
    <cfRule type="containsBlanks" dxfId="4" priority="5">
      <formula>LEN(TRIM(B23))=0</formula>
    </cfRule>
  </conditionalFormatting>
  <conditionalFormatting sqref="E24">
    <cfRule type="containsBlanks" dxfId="3" priority="4">
      <formula>LEN(TRIM(E24))=0</formula>
    </cfRule>
  </conditionalFormatting>
  <conditionalFormatting sqref="B33:B36">
    <cfRule type="containsBlanks" dxfId="2" priority="3">
      <formula>LEN(TRIM(B33))=0</formula>
    </cfRule>
  </conditionalFormatting>
  <conditionalFormatting sqref="B27:B32">
    <cfRule type="containsBlanks" dxfId="1" priority="2">
      <formula>LEN(TRIM(B27))=0</formula>
    </cfRule>
  </conditionalFormatting>
  <conditionalFormatting sqref="B27:B32">
    <cfRule type="containsBlanks" dxfId="0" priority="1">
      <formula>LEN(TRIM(B27))=0</formula>
    </cfRule>
  </conditionalFormatting>
  <dataValidations disablePrompts="1" count="6">
    <dataValidation allowBlank="1" showInputMessage="1" showErrorMessage="1" promptTitle="예" prompt="이영주 목사" sqref="B4"/>
    <dataValidation type="whole" allowBlank="1" showInputMessage="1" showErrorMessage="1" errorTitle="오류" error="1부터 31중 숫자만 적으세요" promptTitle="예: 25" prompt="날짜의 숫자만 적으세요" sqref="B2">
      <formula1>1</formula1>
      <formula2>31</formula2>
    </dataValidation>
    <dataValidation type="whole" allowBlank="1" showInputMessage="1" showErrorMessage="1" errorTitle="오류" error="1부터 12중 숫자만 적으세요" promptTitle="예: 12" prompt="월의 숫자만 적으세요" sqref="B1">
      <formula1>1</formula1>
      <formula2>12</formula2>
    </dataValidation>
    <dataValidation type="whole" allowBlank="1" showInputMessage="1" showErrorMessage="1" errorTitle="오류" error="년도의 숫자만 적으세요" promptTitle="예: 2017" prompt="년도의 숫자만 적으세요" sqref="B3">
      <formula1>2017</formula1>
      <formula2>2099</formula2>
    </dataValidation>
    <dataValidation allowBlank="1" showInputMessage="1" showErrorMessage="1" prompt="더블클릭후 붙여넣기 해주세요" sqref="B59"/>
    <dataValidation allowBlank="1" showInputMessage="1" showErrorMessage="1" errorTitle="&quot;셀&quot; 은 포함하지 않고 적어주세요" error="류다희 셀 (X)_x000a_류다희 (O)" promptTitle="&quot;셀&quot; 은 포함하지 않고 적어주세요" prompt="류다희 셀 (X)_x000a_류다희 (O)" sqref="B15:B22"/>
  </dataValidation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오류" error="셀 옆에 버튼을 클릭하고 책을 고르세요" promptTitle="예: 창" prompt="셀 옆에 버튼을 클릭하고 책을 고르세요">
          <x14:formula1>
            <xm:f>Books!$A$1:$A$66</xm:f>
          </x14:formula1>
          <xm:sqref>B8:B9 B23:B24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00"/>
  <sheetViews>
    <sheetView workbookViewId="0">
      <selection sqref="A1:XFD1048576"/>
    </sheetView>
  </sheetViews>
  <sheetFormatPr defaultRowHeight="21" x14ac:dyDescent="0.5"/>
  <cols>
    <col min="1" max="1" width="11.54296875" style="15" bestFit="1" customWidth="1"/>
    <col min="2" max="2" width="31.81640625" style="16" bestFit="1" customWidth="1"/>
    <col min="3" max="3" width="19.26953125" style="16" bestFit="1" customWidth="1"/>
    <col min="4" max="4" width="12.6328125" style="16" bestFit="1" customWidth="1"/>
    <col min="5" max="5" width="8.7265625" style="10"/>
    <col min="6" max="6" width="9.7265625" style="10" bestFit="1" customWidth="1"/>
    <col min="7" max="7" width="12.6328125" style="10" bestFit="1" customWidth="1"/>
    <col min="8" max="8" width="9.7265625" style="10" bestFit="1" customWidth="1"/>
    <col min="9" max="9" width="12.6328125" style="10" bestFit="1" customWidth="1"/>
    <col min="10" max="16384" width="8.7265625" style="10"/>
  </cols>
  <sheetData>
    <row r="1" spans="1:9" x14ac:dyDescent="0.5">
      <c r="A1" s="14" t="s">
        <v>255</v>
      </c>
      <c r="B1" s="14" t="s">
        <v>256</v>
      </c>
      <c r="C1" s="14" t="s">
        <v>257</v>
      </c>
      <c r="D1" s="14" t="s">
        <v>258</v>
      </c>
      <c r="H1" s="11" t="s">
        <v>268</v>
      </c>
    </row>
    <row r="2" spans="1:9" x14ac:dyDescent="0.5">
      <c r="A2" s="14">
        <v>42855</v>
      </c>
      <c r="B2" s="14" t="s">
        <v>315</v>
      </c>
      <c r="C2" s="14" t="s">
        <v>316</v>
      </c>
      <c r="D2" s="14" t="s">
        <v>225</v>
      </c>
      <c r="G2" s="12" t="s">
        <v>256</v>
      </c>
      <c r="H2" s="12" t="s">
        <v>257</v>
      </c>
      <c r="I2" s="12" t="s">
        <v>258</v>
      </c>
    </row>
    <row r="3" spans="1:9" x14ac:dyDescent="0.5">
      <c r="A3" s="14">
        <v>42862</v>
      </c>
      <c r="B3" s="14" t="s">
        <v>317</v>
      </c>
      <c r="C3" s="14" t="s">
        <v>318</v>
      </c>
      <c r="D3" s="14" t="s">
        <v>228</v>
      </c>
      <c r="G3" s="13" t="s">
        <v>240</v>
      </c>
      <c r="H3" s="13" t="s">
        <v>224</v>
      </c>
      <c r="I3" s="13" t="s">
        <v>225</v>
      </c>
    </row>
    <row r="4" spans="1:9" x14ac:dyDescent="0.5">
      <c r="A4" s="14">
        <v>42869</v>
      </c>
      <c r="B4" s="14" t="s">
        <v>319</v>
      </c>
      <c r="C4" s="14" t="s">
        <v>320</v>
      </c>
      <c r="D4" s="14" t="s">
        <v>231</v>
      </c>
      <c r="G4" s="13" t="s">
        <v>223</v>
      </c>
      <c r="H4" s="13" t="s">
        <v>227</v>
      </c>
      <c r="I4" s="13" t="s">
        <v>228</v>
      </c>
    </row>
    <row r="5" spans="1:9" x14ac:dyDescent="0.5">
      <c r="A5" s="14">
        <v>42876</v>
      </c>
      <c r="B5" s="14" t="s">
        <v>321</v>
      </c>
      <c r="C5" s="14" t="s">
        <v>322</v>
      </c>
      <c r="D5" s="14" t="s">
        <v>234</v>
      </c>
      <c r="G5" s="13" t="s">
        <v>226</v>
      </c>
      <c r="H5" s="13" t="s">
        <v>230</v>
      </c>
      <c r="I5" s="13" t="s">
        <v>231</v>
      </c>
    </row>
    <row r="6" spans="1:9" x14ac:dyDescent="0.5">
      <c r="A6" s="14">
        <v>42883</v>
      </c>
      <c r="B6" s="14" t="s">
        <v>323</v>
      </c>
      <c r="C6" s="14" t="s">
        <v>324</v>
      </c>
      <c r="D6" s="14" t="s">
        <v>236</v>
      </c>
      <c r="G6" s="13" t="s">
        <v>229</v>
      </c>
      <c r="H6" s="13" t="s">
        <v>233</v>
      </c>
      <c r="I6" s="13" t="s">
        <v>234</v>
      </c>
    </row>
    <row r="7" spans="1:9" x14ac:dyDescent="0.5">
      <c r="A7" s="14">
        <v>42890</v>
      </c>
      <c r="B7" s="14" t="s">
        <v>325</v>
      </c>
      <c r="C7" s="14" t="s">
        <v>326</v>
      </c>
      <c r="D7" s="14" t="s">
        <v>223</v>
      </c>
      <c r="G7" s="13" t="s">
        <v>232</v>
      </c>
      <c r="H7" s="13" t="s">
        <v>235</v>
      </c>
      <c r="I7" s="13" t="s">
        <v>236</v>
      </c>
    </row>
    <row r="8" spans="1:9" x14ac:dyDescent="0.5">
      <c r="A8" s="14">
        <v>42897</v>
      </c>
      <c r="B8" s="14" t="s">
        <v>327</v>
      </c>
      <c r="C8" s="14" t="s">
        <v>328</v>
      </c>
      <c r="D8" s="14" t="s">
        <v>240</v>
      </c>
      <c r="G8" s="13" t="s">
        <v>228</v>
      </c>
      <c r="H8" s="13" t="s">
        <v>305</v>
      </c>
      <c r="I8" s="13" t="s">
        <v>223</v>
      </c>
    </row>
    <row r="9" spans="1:9" x14ac:dyDescent="0.5">
      <c r="A9" s="14">
        <v>42904</v>
      </c>
      <c r="B9" s="14" t="s">
        <v>329</v>
      </c>
      <c r="C9" s="14" t="s">
        <v>330</v>
      </c>
      <c r="D9" s="14" t="s">
        <v>242</v>
      </c>
      <c r="G9" s="13" t="s">
        <v>231</v>
      </c>
      <c r="H9" s="13" t="s">
        <v>306</v>
      </c>
      <c r="I9" s="13" t="s">
        <v>240</v>
      </c>
    </row>
    <row r="10" spans="1:9" x14ac:dyDescent="0.5">
      <c r="A10" s="14">
        <v>42911</v>
      </c>
      <c r="B10" s="14" t="s">
        <v>331</v>
      </c>
      <c r="C10" s="14" t="s">
        <v>332</v>
      </c>
      <c r="D10" s="14" t="s">
        <v>238</v>
      </c>
      <c r="G10" s="13" t="s">
        <v>238</v>
      </c>
      <c r="H10" s="13" t="s">
        <v>237</v>
      </c>
      <c r="I10" s="13" t="s">
        <v>242</v>
      </c>
    </row>
    <row r="11" spans="1:9" x14ac:dyDescent="0.5">
      <c r="A11" s="14">
        <v>42918</v>
      </c>
      <c r="B11" s="14" t="s">
        <v>333</v>
      </c>
      <c r="C11" s="14" t="s">
        <v>316</v>
      </c>
      <c r="D11" s="14" t="s">
        <v>243</v>
      </c>
      <c r="G11" s="13" t="s">
        <v>241</v>
      </c>
      <c r="H11" s="13" t="s">
        <v>239</v>
      </c>
      <c r="I11" s="13" t="s">
        <v>238</v>
      </c>
    </row>
    <row r="12" spans="1:9" x14ac:dyDescent="0.5">
      <c r="A12" s="14">
        <v>42925</v>
      </c>
      <c r="B12" s="14" t="s">
        <v>334</v>
      </c>
      <c r="C12" s="14" t="s">
        <v>318</v>
      </c>
      <c r="D12" s="14" t="s">
        <v>232</v>
      </c>
      <c r="G12" s="13" t="s">
        <v>236</v>
      </c>
      <c r="H12" s="13" t="s">
        <v>335</v>
      </c>
      <c r="I12" s="13" t="s">
        <v>243</v>
      </c>
    </row>
    <row r="13" spans="1:9" x14ac:dyDescent="0.5">
      <c r="A13" s="14">
        <v>42932</v>
      </c>
      <c r="B13" s="14" t="s">
        <v>336</v>
      </c>
      <c r="C13" s="14" t="s">
        <v>320</v>
      </c>
      <c r="D13" s="14" t="s">
        <v>244</v>
      </c>
      <c r="G13" s="13" t="s">
        <v>234</v>
      </c>
      <c r="H13" s="13" t="s">
        <v>335</v>
      </c>
      <c r="I13" s="13" t="s">
        <v>232</v>
      </c>
    </row>
    <row r="14" spans="1:9" x14ac:dyDescent="0.5">
      <c r="A14" s="14">
        <v>42939</v>
      </c>
      <c r="B14" s="14" t="s">
        <v>337</v>
      </c>
      <c r="C14" s="14" t="s">
        <v>322</v>
      </c>
      <c r="D14" s="14" t="s">
        <v>246</v>
      </c>
      <c r="G14" s="13" t="s">
        <v>243</v>
      </c>
      <c r="H14" s="13" t="s">
        <v>335</v>
      </c>
      <c r="I14" s="13" t="s">
        <v>244</v>
      </c>
    </row>
    <row r="15" spans="1:9" x14ac:dyDescent="0.5">
      <c r="A15" s="14">
        <v>42946</v>
      </c>
      <c r="B15" s="14" t="s">
        <v>338</v>
      </c>
      <c r="C15" s="14" t="s">
        <v>324</v>
      </c>
      <c r="D15" s="14" t="s">
        <v>229</v>
      </c>
      <c r="G15" s="13" t="s">
        <v>244</v>
      </c>
      <c r="H15" s="13" t="s">
        <v>335</v>
      </c>
      <c r="I15" s="13" t="s">
        <v>246</v>
      </c>
    </row>
    <row r="16" spans="1:9" x14ac:dyDescent="0.5">
      <c r="A16" s="14">
        <v>42953</v>
      </c>
      <c r="B16" s="14" t="s">
        <v>339</v>
      </c>
      <c r="C16" s="14" t="s">
        <v>326</v>
      </c>
      <c r="D16" s="14" t="s">
        <v>248</v>
      </c>
      <c r="G16" s="13" t="s">
        <v>245</v>
      </c>
      <c r="H16" s="13" t="s">
        <v>335</v>
      </c>
      <c r="I16" s="13" t="s">
        <v>229</v>
      </c>
    </row>
    <row r="17" spans="1:9" x14ac:dyDescent="0.5">
      <c r="A17" s="14">
        <v>42960</v>
      </c>
      <c r="B17" s="14" t="s">
        <v>340</v>
      </c>
      <c r="C17" s="14" t="s">
        <v>328</v>
      </c>
      <c r="D17" s="14" t="s">
        <v>249</v>
      </c>
      <c r="G17" s="13" t="s">
        <v>247</v>
      </c>
      <c r="H17" s="13" t="s">
        <v>335</v>
      </c>
      <c r="I17" s="13" t="s">
        <v>248</v>
      </c>
    </row>
    <row r="18" spans="1:9" x14ac:dyDescent="0.5">
      <c r="A18" s="14">
        <v>42967</v>
      </c>
      <c r="B18" s="14" t="s">
        <v>341</v>
      </c>
      <c r="C18" s="14" t="s">
        <v>330</v>
      </c>
      <c r="D18" s="14" t="s">
        <v>241</v>
      </c>
      <c r="G18" s="13" t="s">
        <v>225</v>
      </c>
      <c r="H18" s="13" t="s">
        <v>335</v>
      </c>
      <c r="I18" s="13" t="s">
        <v>249</v>
      </c>
    </row>
    <row r="19" spans="1:9" x14ac:dyDescent="0.5">
      <c r="A19" s="14">
        <v>42974</v>
      </c>
      <c r="B19" s="14" t="s">
        <v>342</v>
      </c>
      <c r="C19" s="14" t="s">
        <v>332</v>
      </c>
      <c r="D19" s="14" t="s">
        <v>250</v>
      </c>
      <c r="G19" s="13" t="s">
        <v>246</v>
      </c>
      <c r="H19" s="13" t="s">
        <v>335</v>
      </c>
      <c r="I19" s="13" t="s">
        <v>241</v>
      </c>
    </row>
    <row r="20" spans="1:9" x14ac:dyDescent="0.5">
      <c r="A20" s="14">
        <v>42981</v>
      </c>
      <c r="B20" s="14" t="s">
        <v>343</v>
      </c>
      <c r="C20" s="14" t="s">
        <v>316</v>
      </c>
      <c r="D20" s="14" t="s">
        <v>226</v>
      </c>
      <c r="G20" s="13" t="s">
        <v>242</v>
      </c>
      <c r="H20" s="13" t="s">
        <v>335</v>
      </c>
      <c r="I20" s="13" t="s">
        <v>250</v>
      </c>
    </row>
    <row r="21" spans="1:9" x14ac:dyDescent="0.5">
      <c r="A21" s="14">
        <v>42988</v>
      </c>
      <c r="B21" s="14" t="s">
        <v>344</v>
      </c>
      <c r="C21" s="14" t="s">
        <v>318</v>
      </c>
      <c r="D21" s="14" t="s">
        <v>252</v>
      </c>
      <c r="G21" s="13" t="s">
        <v>249</v>
      </c>
      <c r="H21" s="13" t="s">
        <v>335</v>
      </c>
      <c r="I21" s="13" t="s">
        <v>226</v>
      </c>
    </row>
    <row r="22" spans="1:9" x14ac:dyDescent="0.5">
      <c r="A22" s="14">
        <v>42995</v>
      </c>
      <c r="B22" s="14" t="s">
        <v>345</v>
      </c>
      <c r="C22" s="14" t="s">
        <v>320</v>
      </c>
      <c r="D22" s="14" t="s">
        <v>253</v>
      </c>
      <c r="G22" s="13" t="s">
        <v>251</v>
      </c>
      <c r="H22" s="13" t="s">
        <v>335</v>
      </c>
      <c r="I22" s="13" t="s">
        <v>252</v>
      </c>
    </row>
    <row r="23" spans="1:9" x14ac:dyDescent="0.5">
      <c r="A23" s="14">
        <v>43002</v>
      </c>
      <c r="B23" s="14" t="s">
        <v>346</v>
      </c>
      <c r="C23" s="14" t="s">
        <v>322</v>
      </c>
      <c r="D23" s="14" t="s">
        <v>254</v>
      </c>
      <c r="G23" s="13" t="s">
        <v>253</v>
      </c>
      <c r="H23" s="13" t="s">
        <v>335</v>
      </c>
      <c r="I23" s="13" t="s">
        <v>253</v>
      </c>
    </row>
    <row r="24" spans="1:9" x14ac:dyDescent="0.5">
      <c r="A24" s="14">
        <v>43009</v>
      </c>
      <c r="B24" s="14" t="s">
        <v>347</v>
      </c>
      <c r="C24" s="14" t="s">
        <v>324</v>
      </c>
      <c r="D24" s="14" t="s">
        <v>259</v>
      </c>
      <c r="G24" s="13" t="s">
        <v>252</v>
      </c>
      <c r="H24" s="13" t="s">
        <v>335</v>
      </c>
      <c r="I24" s="13" t="s">
        <v>254</v>
      </c>
    </row>
    <row r="25" spans="1:9" x14ac:dyDescent="0.5">
      <c r="A25" s="14">
        <v>43016</v>
      </c>
      <c r="B25" s="14" t="s">
        <v>348</v>
      </c>
      <c r="C25" s="14" t="s">
        <v>326</v>
      </c>
      <c r="D25" s="14" t="s">
        <v>222</v>
      </c>
      <c r="G25" s="13" t="s">
        <v>248</v>
      </c>
      <c r="H25" s="13" t="s">
        <v>335</v>
      </c>
      <c r="I25" s="13" t="s">
        <v>259</v>
      </c>
    </row>
    <row r="26" spans="1:9" x14ac:dyDescent="0.5">
      <c r="A26" s="14">
        <v>43023</v>
      </c>
      <c r="B26" s="14" t="s">
        <v>349</v>
      </c>
      <c r="C26" s="14" t="s">
        <v>328</v>
      </c>
      <c r="D26" s="14" t="s">
        <v>260</v>
      </c>
      <c r="G26" s="13" t="s">
        <v>250</v>
      </c>
      <c r="H26" s="13" t="s">
        <v>335</v>
      </c>
      <c r="I26" s="13" t="s">
        <v>222</v>
      </c>
    </row>
    <row r="27" spans="1:9" x14ac:dyDescent="0.5">
      <c r="A27" s="14">
        <v>43030</v>
      </c>
      <c r="B27" s="14" t="s">
        <v>350</v>
      </c>
      <c r="C27" s="14" t="s">
        <v>330</v>
      </c>
      <c r="D27" s="14" t="s">
        <v>313</v>
      </c>
      <c r="G27" s="13" t="s">
        <v>254</v>
      </c>
      <c r="H27" s="13" t="s">
        <v>335</v>
      </c>
      <c r="I27" s="13" t="s">
        <v>260</v>
      </c>
    </row>
    <row r="28" spans="1:9" x14ac:dyDescent="0.5">
      <c r="A28" s="14">
        <v>43037</v>
      </c>
      <c r="B28" s="14" t="s">
        <v>315</v>
      </c>
      <c r="C28" s="14" t="s">
        <v>332</v>
      </c>
      <c r="D28" s="14" t="s">
        <v>225</v>
      </c>
      <c r="G28" s="13" t="s">
        <v>313</v>
      </c>
      <c r="H28" s="13" t="s">
        <v>335</v>
      </c>
      <c r="I28" s="13" t="s">
        <v>313</v>
      </c>
    </row>
    <row r="29" spans="1:9" x14ac:dyDescent="0.5">
      <c r="A29" s="14">
        <v>43044</v>
      </c>
      <c r="B29" s="14" t="s">
        <v>317</v>
      </c>
      <c r="C29" s="14" t="s">
        <v>316</v>
      </c>
      <c r="D29" s="14" t="s">
        <v>228</v>
      </c>
      <c r="G29" s="13" t="s">
        <v>335</v>
      </c>
      <c r="H29" s="13" t="s">
        <v>335</v>
      </c>
      <c r="I29" s="13" t="s">
        <v>335</v>
      </c>
    </row>
    <row r="30" spans="1:9" x14ac:dyDescent="0.5">
      <c r="A30" s="14">
        <v>43051</v>
      </c>
      <c r="B30" s="14" t="s">
        <v>319</v>
      </c>
      <c r="C30" s="14" t="s">
        <v>318</v>
      </c>
      <c r="D30" s="14" t="s">
        <v>231</v>
      </c>
      <c r="G30" s="13" t="s">
        <v>335</v>
      </c>
      <c r="H30" s="13" t="s">
        <v>335</v>
      </c>
      <c r="I30" s="13" t="s">
        <v>335</v>
      </c>
    </row>
    <row r="31" spans="1:9" x14ac:dyDescent="0.5">
      <c r="A31" s="14">
        <v>43058</v>
      </c>
      <c r="B31" s="14" t="s">
        <v>321</v>
      </c>
      <c r="C31" s="14" t="s">
        <v>320</v>
      </c>
      <c r="D31" s="14" t="s">
        <v>234</v>
      </c>
      <c r="G31" s="13" t="s">
        <v>335</v>
      </c>
      <c r="H31" s="13" t="s">
        <v>335</v>
      </c>
      <c r="I31" s="13" t="s">
        <v>335</v>
      </c>
    </row>
    <row r="32" spans="1:9" x14ac:dyDescent="0.5">
      <c r="A32" s="14">
        <v>43065</v>
      </c>
      <c r="B32" s="14" t="s">
        <v>323</v>
      </c>
      <c r="C32" s="14" t="s">
        <v>322</v>
      </c>
      <c r="D32" s="14" t="s">
        <v>236</v>
      </c>
      <c r="G32" s="13" t="s">
        <v>335</v>
      </c>
      <c r="H32" s="13" t="s">
        <v>335</v>
      </c>
      <c r="I32" s="13" t="s">
        <v>335</v>
      </c>
    </row>
    <row r="33" spans="1:9" x14ac:dyDescent="0.5">
      <c r="A33" s="14">
        <v>43072</v>
      </c>
      <c r="B33" s="14" t="s">
        <v>325</v>
      </c>
      <c r="C33" s="14" t="s">
        <v>324</v>
      </c>
      <c r="D33" s="14" t="s">
        <v>223</v>
      </c>
      <c r="G33" s="13" t="s">
        <v>335</v>
      </c>
      <c r="H33" s="13" t="s">
        <v>335</v>
      </c>
      <c r="I33" s="13" t="s">
        <v>335</v>
      </c>
    </row>
    <row r="34" spans="1:9" x14ac:dyDescent="0.5">
      <c r="A34" s="14">
        <v>43079</v>
      </c>
      <c r="B34" s="14" t="s">
        <v>327</v>
      </c>
      <c r="C34" s="14" t="s">
        <v>326</v>
      </c>
      <c r="D34" s="14" t="s">
        <v>240</v>
      </c>
      <c r="G34" s="13" t="s">
        <v>335</v>
      </c>
      <c r="H34" s="13" t="s">
        <v>335</v>
      </c>
      <c r="I34" s="13" t="s">
        <v>335</v>
      </c>
    </row>
    <row r="35" spans="1:9" x14ac:dyDescent="0.5">
      <c r="A35" s="14">
        <v>43086</v>
      </c>
      <c r="B35" s="14" t="s">
        <v>329</v>
      </c>
      <c r="C35" s="14" t="s">
        <v>328</v>
      </c>
      <c r="D35" s="14" t="s">
        <v>242</v>
      </c>
      <c r="G35" s="13" t="s">
        <v>335</v>
      </c>
      <c r="H35" s="13" t="s">
        <v>335</v>
      </c>
      <c r="I35" s="13" t="s">
        <v>335</v>
      </c>
    </row>
    <row r="36" spans="1:9" x14ac:dyDescent="0.5">
      <c r="A36" s="14">
        <v>43093</v>
      </c>
      <c r="B36" s="14" t="s">
        <v>331</v>
      </c>
      <c r="C36" s="14" t="s">
        <v>330</v>
      </c>
      <c r="D36" s="14" t="s">
        <v>238</v>
      </c>
      <c r="G36" s="13" t="s">
        <v>335</v>
      </c>
      <c r="H36" s="13" t="s">
        <v>335</v>
      </c>
      <c r="I36" s="13" t="s">
        <v>335</v>
      </c>
    </row>
    <row r="37" spans="1:9" x14ac:dyDescent="0.5">
      <c r="A37" s="14">
        <v>43100</v>
      </c>
      <c r="B37" s="14" t="s">
        <v>333</v>
      </c>
      <c r="C37" s="14" t="s">
        <v>332</v>
      </c>
      <c r="D37" s="14" t="s">
        <v>243</v>
      </c>
      <c r="G37" s="13" t="s">
        <v>335</v>
      </c>
      <c r="H37" s="13" t="s">
        <v>335</v>
      </c>
      <c r="I37" s="13" t="s">
        <v>335</v>
      </c>
    </row>
    <row r="38" spans="1:9" x14ac:dyDescent="0.5">
      <c r="A38" s="14">
        <v>43107</v>
      </c>
      <c r="B38" s="14" t="s">
        <v>334</v>
      </c>
      <c r="C38" s="14" t="s">
        <v>316</v>
      </c>
      <c r="D38" s="14" t="s">
        <v>232</v>
      </c>
      <c r="G38" s="13" t="s">
        <v>335</v>
      </c>
      <c r="H38" s="13" t="s">
        <v>335</v>
      </c>
      <c r="I38" s="13" t="s">
        <v>335</v>
      </c>
    </row>
    <row r="39" spans="1:9" x14ac:dyDescent="0.5">
      <c r="A39" s="14">
        <v>43114</v>
      </c>
      <c r="B39" s="14" t="s">
        <v>336</v>
      </c>
      <c r="C39" s="14" t="s">
        <v>318</v>
      </c>
      <c r="D39" s="14" t="s">
        <v>244</v>
      </c>
      <c r="G39" s="13" t="s">
        <v>335</v>
      </c>
      <c r="H39" s="13" t="s">
        <v>335</v>
      </c>
      <c r="I39" s="13" t="s">
        <v>335</v>
      </c>
    </row>
    <row r="40" spans="1:9" x14ac:dyDescent="0.5">
      <c r="A40" s="14">
        <v>43121</v>
      </c>
      <c r="B40" s="14" t="s">
        <v>337</v>
      </c>
      <c r="C40" s="14" t="s">
        <v>320</v>
      </c>
      <c r="D40" s="14" t="s">
        <v>246</v>
      </c>
      <c r="G40" s="13" t="s">
        <v>335</v>
      </c>
      <c r="H40" s="13" t="s">
        <v>335</v>
      </c>
      <c r="I40" s="13" t="s">
        <v>335</v>
      </c>
    </row>
    <row r="41" spans="1:9" x14ac:dyDescent="0.5">
      <c r="A41" s="14">
        <v>43128</v>
      </c>
      <c r="B41" s="14" t="s">
        <v>338</v>
      </c>
      <c r="C41" s="14" t="s">
        <v>322</v>
      </c>
      <c r="D41" s="14" t="s">
        <v>229</v>
      </c>
      <c r="G41" s="13" t="s">
        <v>335</v>
      </c>
      <c r="H41" s="13" t="s">
        <v>335</v>
      </c>
      <c r="I41" s="13" t="s">
        <v>335</v>
      </c>
    </row>
    <row r="42" spans="1:9" x14ac:dyDescent="0.5">
      <c r="A42" s="14">
        <v>43135</v>
      </c>
      <c r="B42" s="14" t="s">
        <v>339</v>
      </c>
      <c r="C42" s="14" t="s">
        <v>324</v>
      </c>
      <c r="D42" s="14" t="s">
        <v>248</v>
      </c>
      <c r="G42" s="13" t="s">
        <v>335</v>
      </c>
      <c r="H42" s="13" t="s">
        <v>335</v>
      </c>
      <c r="I42" s="13" t="s">
        <v>335</v>
      </c>
    </row>
    <row r="43" spans="1:9" x14ac:dyDescent="0.5">
      <c r="A43" s="14">
        <v>43142</v>
      </c>
      <c r="B43" s="14" t="s">
        <v>340</v>
      </c>
      <c r="C43" s="14" t="s">
        <v>326</v>
      </c>
      <c r="D43" s="14" t="s">
        <v>249</v>
      </c>
      <c r="G43" s="13" t="s">
        <v>335</v>
      </c>
      <c r="H43" s="13" t="s">
        <v>335</v>
      </c>
      <c r="I43" s="13" t="s">
        <v>335</v>
      </c>
    </row>
    <row r="44" spans="1:9" x14ac:dyDescent="0.5">
      <c r="A44" s="14">
        <v>43149</v>
      </c>
      <c r="B44" s="14" t="s">
        <v>341</v>
      </c>
      <c r="C44" s="14" t="s">
        <v>328</v>
      </c>
      <c r="D44" s="14" t="s">
        <v>241</v>
      </c>
      <c r="G44" s="13" t="s">
        <v>335</v>
      </c>
      <c r="H44" s="13" t="s">
        <v>335</v>
      </c>
      <c r="I44" s="13" t="s">
        <v>335</v>
      </c>
    </row>
    <row r="45" spans="1:9" x14ac:dyDescent="0.5">
      <c r="A45" s="14">
        <v>43156</v>
      </c>
      <c r="B45" s="14" t="s">
        <v>342</v>
      </c>
      <c r="C45" s="14" t="s">
        <v>330</v>
      </c>
      <c r="D45" s="14" t="s">
        <v>250</v>
      </c>
    </row>
    <row r="46" spans="1:9" x14ac:dyDescent="0.5">
      <c r="A46" s="14">
        <v>43163</v>
      </c>
      <c r="B46" s="14" t="s">
        <v>343</v>
      </c>
      <c r="C46" s="14" t="s">
        <v>332</v>
      </c>
      <c r="D46" s="14" t="s">
        <v>226</v>
      </c>
    </row>
    <row r="47" spans="1:9" x14ac:dyDescent="0.5">
      <c r="A47" s="14">
        <v>43170</v>
      </c>
      <c r="B47" s="14" t="s">
        <v>344</v>
      </c>
      <c r="C47" s="14" t="s">
        <v>316</v>
      </c>
      <c r="D47" s="14" t="s">
        <v>252</v>
      </c>
    </row>
    <row r="48" spans="1:9" x14ac:dyDescent="0.5">
      <c r="A48" s="14">
        <v>43177</v>
      </c>
      <c r="B48" s="14" t="s">
        <v>345</v>
      </c>
      <c r="C48" s="14" t="s">
        <v>318</v>
      </c>
      <c r="D48" s="14" t="s">
        <v>253</v>
      </c>
    </row>
    <row r="49" spans="1:4" x14ac:dyDescent="0.5">
      <c r="A49" s="14">
        <v>43184</v>
      </c>
      <c r="B49" s="14" t="s">
        <v>346</v>
      </c>
      <c r="C49" s="14" t="s">
        <v>320</v>
      </c>
      <c r="D49" s="14" t="s">
        <v>254</v>
      </c>
    </row>
    <row r="50" spans="1:4" x14ac:dyDescent="0.5">
      <c r="A50" s="14">
        <v>43191</v>
      </c>
      <c r="B50" s="14" t="s">
        <v>347</v>
      </c>
      <c r="C50" s="14" t="s">
        <v>322</v>
      </c>
      <c r="D50" s="14" t="s">
        <v>259</v>
      </c>
    </row>
    <row r="51" spans="1:4" x14ac:dyDescent="0.5">
      <c r="A51" s="14">
        <v>43198</v>
      </c>
      <c r="B51" s="14" t="s">
        <v>348</v>
      </c>
      <c r="C51" s="14" t="s">
        <v>324</v>
      </c>
      <c r="D51" s="14" t="s">
        <v>222</v>
      </c>
    </row>
    <row r="52" spans="1:4" x14ac:dyDescent="0.5">
      <c r="A52" s="14">
        <v>43205</v>
      </c>
      <c r="B52" s="14" t="s">
        <v>349</v>
      </c>
      <c r="C52" s="14" t="s">
        <v>326</v>
      </c>
      <c r="D52" s="14" t="s">
        <v>260</v>
      </c>
    </row>
    <row r="53" spans="1:4" x14ac:dyDescent="0.5">
      <c r="A53" s="14">
        <v>43212</v>
      </c>
      <c r="B53" s="14" t="s">
        <v>350</v>
      </c>
      <c r="C53" s="14" t="s">
        <v>328</v>
      </c>
      <c r="D53" s="14" t="s">
        <v>313</v>
      </c>
    </row>
    <row r="54" spans="1:4" x14ac:dyDescent="0.5">
      <c r="A54" s="14">
        <v>43219</v>
      </c>
      <c r="B54" s="14" t="s">
        <v>315</v>
      </c>
      <c r="C54" s="14" t="s">
        <v>330</v>
      </c>
      <c r="D54" s="14" t="s">
        <v>225</v>
      </c>
    </row>
    <row r="55" spans="1:4" x14ac:dyDescent="0.5">
      <c r="A55" s="14">
        <v>43226</v>
      </c>
      <c r="B55" s="14" t="s">
        <v>317</v>
      </c>
      <c r="C55" s="14" t="s">
        <v>332</v>
      </c>
      <c r="D55" s="14" t="s">
        <v>228</v>
      </c>
    </row>
    <row r="56" spans="1:4" x14ac:dyDescent="0.5">
      <c r="A56" s="14">
        <v>43233</v>
      </c>
      <c r="B56" s="14" t="s">
        <v>319</v>
      </c>
      <c r="C56" s="14" t="s">
        <v>316</v>
      </c>
      <c r="D56" s="14" t="s">
        <v>231</v>
      </c>
    </row>
    <row r="57" spans="1:4" x14ac:dyDescent="0.5">
      <c r="A57" s="14">
        <v>43240</v>
      </c>
      <c r="B57" s="14" t="s">
        <v>321</v>
      </c>
      <c r="C57" s="14" t="s">
        <v>318</v>
      </c>
      <c r="D57" s="14" t="s">
        <v>234</v>
      </c>
    </row>
    <row r="58" spans="1:4" x14ac:dyDescent="0.5">
      <c r="A58" s="14">
        <v>43247</v>
      </c>
      <c r="B58" s="14" t="s">
        <v>323</v>
      </c>
      <c r="C58" s="14" t="s">
        <v>320</v>
      </c>
      <c r="D58" s="14" t="s">
        <v>236</v>
      </c>
    </row>
    <row r="59" spans="1:4" x14ac:dyDescent="0.5">
      <c r="A59" s="14">
        <v>43254</v>
      </c>
      <c r="B59" s="14" t="s">
        <v>325</v>
      </c>
      <c r="C59" s="14" t="s">
        <v>322</v>
      </c>
      <c r="D59" s="14" t="s">
        <v>223</v>
      </c>
    </row>
    <row r="60" spans="1:4" x14ac:dyDescent="0.5">
      <c r="A60" s="14">
        <v>43261</v>
      </c>
      <c r="B60" s="14" t="s">
        <v>327</v>
      </c>
      <c r="C60" s="14" t="s">
        <v>324</v>
      </c>
      <c r="D60" s="14" t="s">
        <v>240</v>
      </c>
    </row>
    <row r="61" spans="1:4" x14ac:dyDescent="0.5">
      <c r="A61" s="14">
        <v>43268</v>
      </c>
      <c r="B61" s="14" t="s">
        <v>329</v>
      </c>
      <c r="C61" s="14" t="s">
        <v>326</v>
      </c>
      <c r="D61" s="14" t="s">
        <v>242</v>
      </c>
    </row>
    <row r="62" spans="1:4" x14ac:dyDescent="0.5">
      <c r="A62" s="14">
        <v>43275</v>
      </c>
      <c r="B62" s="14" t="s">
        <v>331</v>
      </c>
      <c r="C62" s="14" t="s">
        <v>328</v>
      </c>
      <c r="D62" s="14" t="s">
        <v>238</v>
      </c>
    </row>
    <row r="63" spans="1:4" x14ac:dyDescent="0.5">
      <c r="A63" s="14">
        <v>43282</v>
      </c>
      <c r="B63" s="14" t="s">
        <v>333</v>
      </c>
      <c r="C63" s="14" t="s">
        <v>330</v>
      </c>
      <c r="D63" s="14" t="s">
        <v>243</v>
      </c>
    </row>
    <row r="64" spans="1:4" x14ac:dyDescent="0.5">
      <c r="A64" s="14">
        <v>43289</v>
      </c>
      <c r="B64" s="14" t="s">
        <v>334</v>
      </c>
      <c r="C64" s="14" t="s">
        <v>332</v>
      </c>
      <c r="D64" s="14" t="s">
        <v>232</v>
      </c>
    </row>
    <row r="65" spans="1:4" x14ac:dyDescent="0.5">
      <c r="A65" s="14">
        <v>43296</v>
      </c>
      <c r="B65" s="14" t="s">
        <v>336</v>
      </c>
      <c r="C65" s="14" t="s">
        <v>316</v>
      </c>
      <c r="D65" s="14" t="s">
        <v>244</v>
      </c>
    </row>
    <row r="66" spans="1:4" x14ac:dyDescent="0.5">
      <c r="A66" s="14">
        <v>43303</v>
      </c>
      <c r="B66" s="14" t="s">
        <v>337</v>
      </c>
      <c r="C66" s="14" t="s">
        <v>318</v>
      </c>
      <c r="D66" s="14" t="s">
        <v>246</v>
      </c>
    </row>
    <row r="67" spans="1:4" x14ac:dyDescent="0.5">
      <c r="A67" s="14">
        <v>43310</v>
      </c>
      <c r="B67" s="14" t="s">
        <v>338</v>
      </c>
      <c r="C67" s="14" t="s">
        <v>320</v>
      </c>
      <c r="D67" s="14" t="s">
        <v>229</v>
      </c>
    </row>
    <row r="68" spans="1:4" x14ac:dyDescent="0.5">
      <c r="A68" s="14">
        <v>43317</v>
      </c>
      <c r="B68" s="14" t="s">
        <v>339</v>
      </c>
      <c r="C68" s="14" t="s">
        <v>322</v>
      </c>
      <c r="D68" s="14" t="s">
        <v>248</v>
      </c>
    </row>
    <row r="69" spans="1:4" x14ac:dyDescent="0.5">
      <c r="A69" s="14">
        <v>43324</v>
      </c>
      <c r="B69" s="14" t="s">
        <v>340</v>
      </c>
      <c r="C69" s="14" t="s">
        <v>324</v>
      </c>
      <c r="D69" s="14" t="s">
        <v>249</v>
      </c>
    </row>
    <row r="70" spans="1:4" x14ac:dyDescent="0.5">
      <c r="A70" s="14">
        <v>43331</v>
      </c>
      <c r="B70" s="14" t="s">
        <v>341</v>
      </c>
      <c r="C70" s="14" t="s">
        <v>326</v>
      </c>
      <c r="D70" s="14" t="s">
        <v>241</v>
      </c>
    </row>
    <row r="71" spans="1:4" x14ac:dyDescent="0.5">
      <c r="A71" s="14">
        <v>43338</v>
      </c>
      <c r="B71" s="14" t="s">
        <v>342</v>
      </c>
      <c r="C71" s="14" t="s">
        <v>328</v>
      </c>
      <c r="D71" s="14" t="s">
        <v>250</v>
      </c>
    </row>
    <row r="72" spans="1:4" x14ac:dyDescent="0.5">
      <c r="A72" s="14">
        <v>43345</v>
      </c>
      <c r="B72" s="14" t="s">
        <v>343</v>
      </c>
      <c r="C72" s="14" t="s">
        <v>330</v>
      </c>
      <c r="D72" s="14" t="s">
        <v>226</v>
      </c>
    </row>
    <row r="73" spans="1:4" x14ac:dyDescent="0.5">
      <c r="A73" s="14">
        <v>43352</v>
      </c>
      <c r="B73" s="14" t="s">
        <v>344</v>
      </c>
      <c r="C73" s="14" t="s">
        <v>332</v>
      </c>
      <c r="D73" s="14" t="s">
        <v>252</v>
      </c>
    </row>
    <row r="74" spans="1:4" x14ac:dyDescent="0.5">
      <c r="A74" s="14">
        <v>43359</v>
      </c>
      <c r="B74" s="14" t="s">
        <v>345</v>
      </c>
      <c r="C74" s="14" t="s">
        <v>316</v>
      </c>
      <c r="D74" s="14" t="s">
        <v>253</v>
      </c>
    </row>
    <row r="75" spans="1:4" x14ac:dyDescent="0.5">
      <c r="A75" s="14">
        <v>43366</v>
      </c>
      <c r="B75" s="14" t="s">
        <v>346</v>
      </c>
      <c r="C75" s="14" t="s">
        <v>318</v>
      </c>
      <c r="D75" s="14" t="s">
        <v>254</v>
      </c>
    </row>
    <row r="76" spans="1:4" x14ac:dyDescent="0.5">
      <c r="A76" s="14">
        <v>43373</v>
      </c>
      <c r="B76" s="14" t="s">
        <v>347</v>
      </c>
      <c r="C76" s="14" t="s">
        <v>320</v>
      </c>
      <c r="D76" s="14" t="s">
        <v>259</v>
      </c>
    </row>
    <row r="77" spans="1:4" x14ac:dyDescent="0.5">
      <c r="A77" s="14">
        <v>43380</v>
      </c>
      <c r="B77" s="14" t="s">
        <v>348</v>
      </c>
      <c r="C77" s="14" t="s">
        <v>322</v>
      </c>
      <c r="D77" s="14" t="s">
        <v>222</v>
      </c>
    </row>
    <row r="78" spans="1:4" x14ac:dyDescent="0.5">
      <c r="A78" s="14">
        <v>43387</v>
      </c>
      <c r="B78" s="14" t="s">
        <v>349</v>
      </c>
      <c r="C78" s="14" t="s">
        <v>324</v>
      </c>
      <c r="D78" s="14" t="s">
        <v>260</v>
      </c>
    </row>
    <row r="79" spans="1:4" x14ac:dyDescent="0.5">
      <c r="A79" s="14">
        <v>43394</v>
      </c>
      <c r="B79" s="14" t="s">
        <v>350</v>
      </c>
      <c r="C79" s="14" t="s">
        <v>326</v>
      </c>
      <c r="D79" s="14" t="s">
        <v>313</v>
      </c>
    </row>
    <row r="80" spans="1:4" x14ac:dyDescent="0.5">
      <c r="A80" s="14">
        <v>43401</v>
      </c>
      <c r="B80" s="14" t="s">
        <v>315</v>
      </c>
      <c r="C80" s="14" t="s">
        <v>328</v>
      </c>
      <c r="D80" s="14" t="s">
        <v>225</v>
      </c>
    </row>
    <row r="81" spans="1:4" x14ac:dyDescent="0.5">
      <c r="A81" s="14">
        <v>43408</v>
      </c>
      <c r="B81" s="14" t="s">
        <v>317</v>
      </c>
      <c r="C81" s="14" t="s">
        <v>330</v>
      </c>
      <c r="D81" s="14" t="s">
        <v>228</v>
      </c>
    </row>
    <row r="82" spans="1:4" x14ac:dyDescent="0.5">
      <c r="A82" s="14">
        <v>43415</v>
      </c>
      <c r="B82" s="14" t="s">
        <v>319</v>
      </c>
      <c r="C82" s="14" t="s">
        <v>332</v>
      </c>
      <c r="D82" s="14" t="s">
        <v>231</v>
      </c>
    </row>
    <row r="83" spans="1:4" x14ac:dyDescent="0.5">
      <c r="A83" s="14">
        <v>43422</v>
      </c>
      <c r="B83" s="14" t="s">
        <v>321</v>
      </c>
      <c r="C83" s="14" t="s">
        <v>316</v>
      </c>
      <c r="D83" s="14" t="s">
        <v>234</v>
      </c>
    </row>
    <row r="84" spans="1:4" x14ac:dyDescent="0.5">
      <c r="A84" s="14">
        <v>43429</v>
      </c>
      <c r="B84" s="14" t="s">
        <v>323</v>
      </c>
      <c r="C84" s="14" t="s">
        <v>318</v>
      </c>
      <c r="D84" s="14" t="s">
        <v>236</v>
      </c>
    </row>
    <row r="85" spans="1:4" x14ac:dyDescent="0.5">
      <c r="A85" s="14">
        <v>43436</v>
      </c>
      <c r="B85" s="14" t="s">
        <v>325</v>
      </c>
      <c r="C85" s="14" t="s">
        <v>320</v>
      </c>
      <c r="D85" s="14" t="s">
        <v>223</v>
      </c>
    </row>
    <row r="86" spans="1:4" x14ac:dyDescent="0.5">
      <c r="A86" s="14">
        <v>43443</v>
      </c>
      <c r="B86" s="14" t="s">
        <v>327</v>
      </c>
      <c r="C86" s="14" t="s">
        <v>322</v>
      </c>
      <c r="D86" s="14" t="s">
        <v>240</v>
      </c>
    </row>
    <row r="87" spans="1:4" x14ac:dyDescent="0.5">
      <c r="A87" s="14">
        <v>43450</v>
      </c>
      <c r="B87" s="14" t="s">
        <v>329</v>
      </c>
      <c r="C87" s="14" t="s">
        <v>324</v>
      </c>
      <c r="D87" s="14" t="s">
        <v>242</v>
      </c>
    </row>
    <row r="88" spans="1:4" x14ac:dyDescent="0.5">
      <c r="A88" s="14">
        <v>43457</v>
      </c>
      <c r="B88" s="14" t="s">
        <v>331</v>
      </c>
      <c r="C88" s="14" t="s">
        <v>326</v>
      </c>
      <c r="D88" s="14" t="s">
        <v>238</v>
      </c>
    </row>
    <row r="89" spans="1:4" x14ac:dyDescent="0.5">
      <c r="A89" s="14">
        <v>43464</v>
      </c>
      <c r="B89" s="14" t="s">
        <v>333</v>
      </c>
      <c r="C89" s="14" t="s">
        <v>328</v>
      </c>
      <c r="D89" s="14" t="s">
        <v>243</v>
      </c>
    </row>
    <row r="90" spans="1:4" x14ac:dyDescent="0.5">
      <c r="A90" s="14">
        <v>43471</v>
      </c>
      <c r="B90" s="14" t="s">
        <v>334</v>
      </c>
      <c r="C90" s="14" t="s">
        <v>330</v>
      </c>
      <c r="D90" s="14" t="s">
        <v>232</v>
      </c>
    </row>
    <row r="91" spans="1:4" x14ac:dyDescent="0.5">
      <c r="A91" s="14">
        <v>43478</v>
      </c>
      <c r="B91" s="14" t="s">
        <v>336</v>
      </c>
      <c r="C91" s="14" t="s">
        <v>332</v>
      </c>
      <c r="D91" s="14" t="s">
        <v>244</v>
      </c>
    </row>
    <row r="92" spans="1:4" x14ac:dyDescent="0.5">
      <c r="A92" s="14">
        <v>43485</v>
      </c>
      <c r="B92" s="14" t="s">
        <v>337</v>
      </c>
      <c r="C92" s="14" t="s">
        <v>316</v>
      </c>
      <c r="D92" s="14" t="s">
        <v>246</v>
      </c>
    </row>
    <row r="93" spans="1:4" x14ac:dyDescent="0.5">
      <c r="A93" s="14">
        <v>43492</v>
      </c>
      <c r="B93" s="14" t="s">
        <v>338</v>
      </c>
      <c r="C93" s="14" t="s">
        <v>318</v>
      </c>
      <c r="D93" s="14" t="s">
        <v>229</v>
      </c>
    </row>
    <row r="94" spans="1:4" x14ac:dyDescent="0.5">
      <c r="A94" s="14">
        <v>43499</v>
      </c>
      <c r="B94" s="14" t="s">
        <v>339</v>
      </c>
      <c r="C94" s="14" t="s">
        <v>320</v>
      </c>
      <c r="D94" s="14" t="s">
        <v>248</v>
      </c>
    </row>
    <row r="95" spans="1:4" x14ac:dyDescent="0.5">
      <c r="A95" s="14">
        <v>43506</v>
      </c>
      <c r="B95" s="14" t="s">
        <v>340</v>
      </c>
      <c r="C95" s="14" t="s">
        <v>322</v>
      </c>
      <c r="D95" s="14" t="s">
        <v>249</v>
      </c>
    </row>
    <row r="96" spans="1:4" x14ac:dyDescent="0.5">
      <c r="A96" s="14">
        <v>43513</v>
      </c>
      <c r="B96" s="14" t="s">
        <v>341</v>
      </c>
      <c r="C96" s="14" t="s">
        <v>324</v>
      </c>
      <c r="D96" s="14" t="s">
        <v>241</v>
      </c>
    </row>
    <row r="97" spans="1:4" x14ac:dyDescent="0.5">
      <c r="A97" s="14">
        <v>43520</v>
      </c>
      <c r="B97" s="14" t="s">
        <v>342</v>
      </c>
      <c r="C97" s="14" t="s">
        <v>326</v>
      </c>
      <c r="D97" s="14" t="s">
        <v>250</v>
      </c>
    </row>
    <row r="98" spans="1:4" x14ac:dyDescent="0.5">
      <c r="A98" s="14">
        <v>43527</v>
      </c>
      <c r="B98" s="14" t="s">
        <v>343</v>
      </c>
      <c r="C98" s="14" t="s">
        <v>328</v>
      </c>
      <c r="D98" s="14" t="s">
        <v>226</v>
      </c>
    </row>
    <row r="99" spans="1:4" x14ac:dyDescent="0.5">
      <c r="A99" s="14">
        <v>43534</v>
      </c>
      <c r="B99" s="14" t="s">
        <v>344</v>
      </c>
      <c r="C99" s="14" t="s">
        <v>330</v>
      </c>
      <c r="D99" s="14" t="s">
        <v>252</v>
      </c>
    </row>
    <row r="100" spans="1:4" x14ac:dyDescent="0.5">
      <c r="A100" s="14">
        <v>43541</v>
      </c>
      <c r="B100" s="14" t="s">
        <v>345</v>
      </c>
      <c r="C100" s="14" t="s">
        <v>332</v>
      </c>
      <c r="D100" s="14" t="s">
        <v>253</v>
      </c>
    </row>
    <row r="101" spans="1:4" x14ac:dyDescent="0.5">
      <c r="A101" s="14">
        <v>43548</v>
      </c>
      <c r="B101" s="14" t="s">
        <v>346</v>
      </c>
      <c r="C101" s="14" t="s">
        <v>316</v>
      </c>
      <c r="D101" s="14" t="s">
        <v>254</v>
      </c>
    </row>
    <row r="102" spans="1:4" x14ac:dyDescent="0.5">
      <c r="A102" s="14">
        <v>43555</v>
      </c>
      <c r="B102" s="14" t="s">
        <v>347</v>
      </c>
      <c r="C102" s="14" t="s">
        <v>318</v>
      </c>
      <c r="D102" s="14" t="s">
        <v>259</v>
      </c>
    </row>
    <row r="103" spans="1:4" x14ac:dyDescent="0.5">
      <c r="A103" s="14">
        <v>43562</v>
      </c>
      <c r="B103" s="14" t="s">
        <v>348</v>
      </c>
      <c r="C103" s="14" t="s">
        <v>320</v>
      </c>
      <c r="D103" s="14" t="s">
        <v>222</v>
      </c>
    </row>
    <row r="104" spans="1:4" x14ac:dyDescent="0.5">
      <c r="A104" s="14">
        <v>43569</v>
      </c>
      <c r="B104" s="14" t="s">
        <v>349</v>
      </c>
      <c r="C104" s="14" t="s">
        <v>322</v>
      </c>
      <c r="D104" s="14" t="s">
        <v>260</v>
      </c>
    </row>
    <row r="105" spans="1:4" x14ac:dyDescent="0.5">
      <c r="A105" s="14">
        <v>43576</v>
      </c>
      <c r="B105" s="14" t="s">
        <v>350</v>
      </c>
      <c r="C105" s="14" t="s">
        <v>324</v>
      </c>
      <c r="D105" s="14" t="s">
        <v>313</v>
      </c>
    </row>
    <row r="106" spans="1:4" x14ac:dyDescent="0.5">
      <c r="A106" s="14">
        <v>43583</v>
      </c>
      <c r="B106" s="14" t="s">
        <v>315</v>
      </c>
      <c r="C106" s="14" t="s">
        <v>326</v>
      </c>
      <c r="D106" s="14" t="s">
        <v>225</v>
      </c>
    </row>
    <row r="107" spans="1:4" x14ac:dyDescent="0.5">
      <c r="A107" s="14">
        <v>43590</v>
      </c>
      <c r="B107" s="14" t="s">
        <v>317</v>
      </c>
      <c r="C107" s="14" t="s">
        <v>328</v>
      </c>
      <c r="D107" s="14" t="s">
        <v>228</v>
      </c>
    </row>
    <row r="108" spans="1:4" x14ac:dyDescent="0.5">
      <c r="A108" s="14">
        <v>43597</v>
      </c>
      <c r="B108" s="14" t="s">
        <v>319</v>
      </c>
      <c r="C108" s="14" t="s">
        <v>330</v>
      </c>
      <c r="D108" s="14" t="s">
        <v>231</v>
      </c>
    </row>
    <row r="109" spans="1:4" x14ac:dyDescent="0.5">
      <c r="A109" s="14">
        <v>43604</v>
      </c>
      <c r="B109" s="14" t="s">
        <v>321</v>
      </c>
      <c r="C109" s="14" t="s">
        <v>332</v>
      </c>
      <c r="D109" s="14" t="s">
        <v>234</v>
      </c>
    </row>
    <row r="110" spans="1:4" x14ac:dyDescent="0.5">
      <c r="A110" s="14">
        <v>43611</v>
      </c>
      <c r="B110" s="14" t="s">
        <v>323</v>
      </c>
      <c r="C110" s="14" t="s">
        <v>316</v>
      </c>
      <c r="D110" s="14" t="s">
        <v>236</v>
      </c>
    </row>
    <row r="111" spans="1:4" x14ac:dyDescent="0.5">
      <c r="A111" s="14">
        <v>43618</v>
      </c>
      <c r="B111" s="14" t="s">
        <v>325</v>
      </c>
      <c r="C111" s="14" t="s">
        <v>318</v>
      </c>
      <c r="D111" s="14" t="s">
        <v>223</v>
      </c>
    </row>
    <row r="112" spans="1:4" x14ac:dyDescent="0.5">
      <c r="A112" s="14">
        <v>43625</v>
      </c>
      <c r="B112" s="14" t="s">
        <v>327</v>
      </c>
      <c r="C112" s="14" t="s">
        <v>320</v>
      </c>
      <c r="D112" s="14" t="s">
        <v>240</v>
      </c>
    </row>
    <row r="113" spans="1:4" x14ac:dyDescent="0.5">
      <c r="A113" s="14">
        <v>43632</v>
      </c>
      <c r="B113" s="14" t="s">
        <v>329</v>
      </c>
      <c r="C113" s="14" t="s">
        <v>322</v>
      </c>
      <c r="D113" s="14" t="s">
        <v>242</v>
      </c>
    </row>
    <row r="114" spans="1:4" x14ac:dyDescent="0.5">
      <c r="A114" s="14">
        <v>43639</v>
      </c>
      <c r="B114" s="14" t="s">
        <v>331</v>
      </c>
      <c r="C114" s="14" t="s">
        <v>324</v>
      </c>
      <c r="D114" s="14" t="s">
        <v>238</v>
      </c>
    </row>
    <row r="115" spans="1:4" x14ac:dyDescent="0.5">
      <c r="A115" s="14">
        <v>43646</v>
      </c>
      <c r="B115" s="14" t="s">
        <v>333</v>
      </c>
      <c r="C115" s="14" t="s">
        <v>326</v>
      </c>
      <c r="D115" s="14" t="s">
        <v>243</v>
      </c>
    </row>
    <row r="116" spans="1:4" x14ac:dyDescent="0.5">
      <c r="A116" s="14">
        <v>43653</v>
      </c>
      <c r="B116" s="14" t="s">
        <v>334</v>
      </c>
      <c r="C116" s="14" t="s">
        <v>328</v>
      </c>
      <c r="D116" s="14" t="s">
        <v>232</v>
      </c>
    </row>
    <row r="117" spans="1:4" x14ac:dyDescent="0.5">
      <c r="A117" s="14">
        <v>43660</v>
      </c>
      <c r="B117" s="14" t="s">
        <v>336</v>
      </c>
      <c r="C117" s="14" t="s">
        <v>330</v>
      </c>
      <c r="D117" s="14" t="s">
        <v>244</v>
      </c>
    </row>
    <row r="118" spans="1:4" x14ac:dyDescent="0.5">
      <c r="A118" s="14">
        <v>43667</v>
      </c>
      <c r="B118" s="14" t="s">
        <v>337</v>
      </c>
      <c r="C118" s="14" t="s">
        <v>332</v>
      </c>
      <c r="D118" s="14" t="s">
        <v>246</v>
      </c>
    </row>
    <row r="119" spans="1:4" x14ac:dyDescent="0.5">
      <c r="A119" s="14">
        <v>43674</v>
      </c>
      <c r="B119" s="14" t="s">
        <v>338</v>
      </c>
      <c r="C119" s="14" t="s">
        <v>316</v>
      </c>
      <c r="D119" s="14" t="s">
        <v>229</v>
      </c>
    </row>
    <row r="120" spans="1:4" x14ac:dyDescent="0.5">
      <c r="A120" s="14">
        <v>43681</v>
      </c>
      <c r="B120" s="14" t="s">
        <v>339</v>
      </c>
      <c r="C120" s="14" t="s">
        <v>318</v>
      </c>
      <c r="D120" s="14" t="s">
        <v>248</v>
      </c>
    </row>
    <row r="121" spans="1:4" x14ac:dyDescent="0.5">
      <c r="A121" s="14">
        <v>43688</v>
      </c>
      <c r="B121" s="14" t="s">
        <v>340</v>
      </c>
      <c r="C121" s="14" t="s">
        <v>320</v>
      </c>
      <c r="D121" s="14" t="s">
        <v>249</v>
      </c>
    </row>
    <row r="122" spans="1:4" x14ac:dyDescent="0.5">
      <c r="A122" s="14">
        <v>43695</v>
      </c>
      <c r="B122" s="14" t="s">
        <v>341</v>
      </c>
      <c r="C122" s="14" t="s">
        <v>322</v>
      </c>
      <c r="D122" s="14" t="s">
        <v>241</v>
      </c>
    </row>
    <row r="123" spans="1:4" x14ac:dyDescent="0.5">
      <c r="A123" s="14">
        <v>43702</v>
      </c>
      <c r="B123" s="14" t="s">
        <v>342</v>
      </c>
      <c r="C123" s="14" t="s">
        <v>324</v>
      </c>
      <c r="D123" s="14" t="s">
        <v>250</v>
      </c>
    </row>
    <row r="124" spans="1:4" x14ac:dyDescent="0.5">
      <c r="A124" s="14">
        <v>43709</v>
      </c>
      <c r="B124" s="14" t="s">
        <v>343</v>
      </c>
      <c r="C124" s="14" t="s">
        <v>326</v>
      </c>
      <c r="D124" s="14" t="s">
        <v>226</v>
      </c>
    </row>
    <row r="125" spans="1:4" x14ac:dyDescent="0.5">
      <c r="A125" s="14">
        <v>43716</v>
      </c>
      <c r="B125" s="14" t="s">
        <v>344</v>
      </c>
      <c r="C125" s="14" t="s">
        <v>328</v>
      </c>
      <c r="D125" s="14" t="s">
        <v>252</v>
      </c>
    </row>
    <row r="126" spans="1:4" x14ac:dyDescent="0.5">
      <c r="A126" s="14">
        <v>43723</v>
      </c>
      <c r="B126" s="14" t="s">
        <v>345</v>
      </c>
      <c r="C126" s="14" t="s">
        <v>330</v>
      </c>
      <c r="D126" s="14" t="s">
        <v>253</v>
      </c>
    </row>
    <row r="127" spans="1:4" x14ac:dyDescent="0.5">
      <c r="A127" s="14">
        <v>43730</v>
      </c>
      <c r="B127" s="14" t="s">
        <v>346</v>
      </c>
      <c r="C127" s="14" t="s">
        <v>332</v>
      </c>
      <c r="D127" s="14" t="s">
        <v>254</v>
      </c>
    </row>
    <row r="128" spans="1:4" x14ac:dyDescent="0.5">
      <c r="A128" s="14">
        <v>43737</v>
      </c>
      <c r="B128" s="14" t="s">
        <v>347</v>
      </c>
      <c r="C128" s="14" t="s">
        <v>316</v>
      </c>
      <c r="D128" s="14" t="s">
        <v>259</v>
      </c>
    </row>
    <row r="129" spans="1:4" x14ac:dyDescent="0.5">
      <c r="A129" s="14">
        <v>43744</v>
      </c>
      <c r="B129" s="14" t="s">
        <v>348</v>
      </c>
      <c r="C129" s="14" t="s">
        <v>318</v>
      </c>
      <c r="D129" s="14" t="s">
        <v>222</v>
      </c>
    </row>
    <row r="130" spans="1:4" x14ac:dyDescent="0.5">
      <c r="A130" s="14">
        <v>43751</v>
      </c>
      <c r="B130" s="14" t="s">
        <v>349</v>
      </c>
      <c r="C130" s="14" t="s">
        <v>320</v>
      </c>
      <c r="D130" s="14" t="s">
        <v>260</v>
      </c>
    </row>
    <row r="131" spans="1:4" x14ac:dyDescent="0.5">
      <c r="A131" s="14">
        <v>43758</v>
      </c>
      <c r="B131" s="14" t="s">
        <v>350</v>
      </c>
      <c r="C131" s="14" t="s">
        <v>322</v>
      </c>
      <c r="D131" s="14" t="s">
        <v>313</v>
      </c>
    </row>
    <row r="132" spans="1:4" x14ac:dyDescent="0.5">
      <c r="A132" s="14">
        <v>43765</v>
      </c>
      <c r="B132" s="14" t="s">
        <v>315</v>
      </c>
      <c r="C132" s="14" t="s">
        <v>324</v>
      </c>
      <c r="D132" s="14" t="s">
        <v>225</v>
      </c>
    </row>
    <row r="133" spans="1:4" x14ac:dyDescent="0.5">
      <c r="A133" s="14">
        <v>43772</v>
      </c>
      <c r="B133" s="14" t="s">
        <v>317</v>
      </c>
      <c r="C133" s="14" t="s">
        <v>326</v>
      </c>
      <c r="D133" s="14" t="s">
        <v>228</v>
      </c>
    </row>
    <row r="134" spans="1:4" x14ac:dyDescent="0.5">
      <c r="A134" s="14">
        <v>43779</v>
      </c>
      <c r="B134" s="14" t="s">
        <v>319</v>
      </c>
      <c r="C134" s="14" t="s">
        <v>328</v>
      </c>
      <c r="D134" s="14" t="s">
        <v>231</v>
      </c>
    </row>
    <row r="135" spans="1:4" x14ac:dyDescent="0.5">
      <c r="A135" s="14">
        <v>0</v>
      </c>
      <c r="B135" s="14" t="s">
        <v>351</v>
      </c>
      <c r="C135" s="14" t="s">
        <v>352</v>
      </c>
      <c r="D135" s="14">
        <v>0</v>
      </c>
    </row>
    <row r="136" spans="1:4" x14ac:dyDescent="0.5">
      <c r="A136" s="14">
        <v>0</v>
      </c>
      <c r="B136" s="14" t="s">
        <v>351</v>
      </c>
      <c r="C136" s="14" t="s">
        <v>352</v>
      </c>
      <c r="D136" s="14">
        <v>0</v>
      </c>
    </row>
    <row r="137" spans="1:4" x14ac:dyDescent="0.5">
      <c r="A137" s="14">
        <v>0</v>
      </c>
      <c r="B137" s="14" t="s">
        <v>351</v>
      </c>
      <c r="C137" s="14" t="s">
        <v>352</v>
      </c>
      <c r="D137" s="14">
        <v>0</v>
      </c>
    </row>
    <row r="138" spans="1:4" x14ac:dyDescent="0.5">
      <c r="A138" s="14">
        <v>0</v>
      </c>
      <c r="B138" s="14" t="s">
        <v>351</v>
      </c>
      <c r="C138" s="14" t="s">
        <v>352</v>
      </c>
      <c r="D138" s="14">
        <v>0</v>
      </c>
    </row>
    <row r="139" spans="1:4" x14ac:dyDescent="0.5">
      <c r="A139" s="14">
        <v>0</v>
      </c>
      <c r="B139" s="14" t="s">
        <v>351</v>
      </c>
      <c r="C139" s="14" t="s">
        <v>352</v>
      </c>
      <c r="D139" s="14">
        <v>0</v>
      </c>
    </row>
    <row r="140" spans="1:4" x14ac:dyDescent="0.5">
      <c r="A140" s="14">
        <v>0</v>
      </c>
      <c r="B140" s="14" t="s">
        <v>351</v>
      </c>
      <c r="C140" s="14" t="s">
        <v>352</v>
      </c>
      <c r="D140" s="14">
        <v>0</v>
      </c>
    </row>
    <row r="141" spans="1:4" x14ac:dyDescent="0.5">
      <c r="A141" s="14">
        <v>0</v>
      </c>
      <c r="B141" s="14" t="s">
        <v>351</v>
      </c>
      <c r="C141" s="14" t="s">
        <v>352</v>
      </c>
      <c r="D141" s="14">
        <v>0</v>
      </c>
    </row>
    <row r="142" spans="1:4" x14ac:dyDescent="0.5">
      <c r="A142" s="14">
        <v>0</v>
      </c>
      <c r="B142" s="14" t="s">
        <v>351</v>
      </c>
      <c r="C142" s="14" t="s">
        <v>352</v>
      </c>
      <c r="D142" s="14">
        <v>0</v>
      </c>
    </row>
    <row r="143" spans="1:4" x14ac:dyDescent="0.5">
      <c r="A143" s="14">
        <v>0</v>
      </c>
      <c r="B143" s="14" t="s">
        <v>351</v>
      </c>
      <c r="C143" s="14" t="s">
        <v>352</v>
      </c>
      <c r="D143" s="14">
        <v>0</v>
      </c>
    </row>
    <row r="144" spans="1:4" x14ac:dyDescent="0.5">
      <c r="A144" s="14">
        <v>0</v>
      </c>
      <c r="B144" s="14" t="s">
        <v>351</v>
      </c>
      <c r="C144" s="14" t="s">
        <v>352</v>
      </c>
      <c r="D144" s="14">
        <v>0</v>
      </c>
    </row>
    <row r="145" spans="1:4" x14ac:dyDescent="0.5">
      <c r="A145" s="14">
        <v>0</v>
      </c>
      <c r="B145" s="14" t="s">
        <v>351</v>
      </c>
      <c r="C145" s="14" t="s">
        <v>352</v>
      </c>
      <c r="D145" s="14">
        <v>0</v>
      </c>
    </row>
    <row r="146" spans="1:4" x14ac:dyDescent="0.5">
      <c r="A146" s="14">
        <v>0</v>
      </c>
      <c r="B146" s="14" t="s">
        <v>351</v>
      </c>
      <c r="C146" s="14" t="s">
        <v>352</v>
      </c>
      <c r="D146" s="14">
        <v>0</v>
      </c>
    </row>
    <row r="147" spans="1:4" x14ac:dyDescent="0.5">
      <c r="A147" s="14">
        <v>0</v>
      </c>
      <c r="B147" s="14" t="s">
        <v>351</v>
      </c>
      <c r="C147" s="14" t="s">
        <v>352</v>
      </c>
      <c r="D147" s="14">
        <v>0</v>
      </c>
    </row>
    <row r="148" spans="1:4" x14ac:dyDescent="0.5">
      <c r="A148" s="14">
        <v>0</v>
      </c>
      <c r="B148" s="14" t="s">
        <v>351</v>
      </c>
      <c r="C148" s="14" t="s">
        <v>352</v>
      </c>
      <c r="D148" s="14">
        <v>0</v>
      </c>
    </row>
    <row r="149" spans="1:4" x14ac:dyDescent="0.5">
      <c r="A149" s="14">
        <v>0</v>
      </c>
      <c r="B149" s="14" t="s">
        <v>351</v>
      </c>
      <c r="C149" s="14" t="s">
        <v>352</v>
      </c>
      <c r="D149" s="14">
        <v>0</v>
      </c>
    </row>
    <row r="150" spans="1:4" x14ac:dyDescent="0.5">
      <c r="A150" s="14">
        <v>0</v>
      </c>
      <c r="B150" s="14" t="s">
        <v>351</v>
      </c>
      <c r="C150" s="14" t="s">
        <v>352</v>
      </c>
      <c r="D150" s="14">
        <v>0</v>
      </c>
    </row>
    <row r="151" spans="1:4" x14ac:dyDescent="0.5">
      <c r="A151" s="14">
        <v>0</v>
      </c>
      <c r="B151" s="14" t="s">
        <v>351</v>
      </c>
      <c r="C151" s="14" t="s">
        <v>352</v>
      </c>
      <c r="D151" s="14">
        <v>0</v>
      </c>
    </row>
    <row r="152" spans="1:4" x14ac:dyDescent="0.5">
      <c r="A152" s="14">
        <v>0</v>
      </c>
      <c r="B152" s="14" t="s">
        <v>351</v>
      </c>
      <c r="C152" s="14" t="s">
        <v>352</v>
      </c>
      <c r="D152" s="14">
        <v>0</v>
      </c>
    </row>
    <row r="153" spans="1:4" x14ac:dyDescent="0.5">
      <c r="A153" s="14">
        <v>0</v>
      </c>
      <c r="B153" s="14" t="s">
        <v>351</v>
      </c>
      <c r="C153" s="14" t="s">
        <v>352</v>
      </c>
      <c r="D153" s="14">
        <v>0</v>
      </c>
    </row>
    <row r="154" spans="1:4" x14ac:dyDescent="0.5">
      <c r="A154" s="14">
        <v>0</v>
      </c>
      <c r="B154" s="14" t="s">
        <v>351</v>
      </c>
      <c r="C154" s="14" t="s">
        <v>352</v>
      </c>
      <c r="D154" s="14">
        <v>0</v>
      </c>
    </row>
    <row r="155" spans="1:4" x14ac:dyDescent="0.5">
      <c r="A155" s="14">
        <v>0</v>
      </c>
      <c r="B155" s="14" t="s">
        <v>351</v>
      </c>
      <c r="C155" s="14" t="s">
        <v>352</v>
      </c>
      <c r="D155" s="14">
        <v>0</v>
      </c>
    </row>
    <row r="156" spans="1:4" x14ac:dyDescent="0.5">
      <c r="A156" s="14">
        <v>0</v>
      </c>
      <c r="B156" s="14" t="s">
        <v>351</v>
      </c>
      <c r="C156" s="14" t="s">
        <v>352</v>
      </c>
      <c r="D156" s="14">
        <v>0</v>
      </c>
    </row>
    <row r="157" spans="1:4" x14ac:dyDescent="0.5">
      <c r="A157" s="14">
        <v>0</v>
      </c>
      <c r="B157" s="14" t="s">
        <v>351</v>
      </c>
      <c r="C157" s="14" t="s">
        <v>352</v>
      </c>
      <c r="D157" s="14">
        <v>0</v>
      </c>
    </row>
    <row r="158" spans="1:4" x14ac:dyDescent="0.5">
      <c r="A158" s="14">
        <v>0</v>
      </c>
      <c r="B158" s="14" t="s">
        <v>351</v>
      </c>
      <c r="C158" s="14" t="s">
        <v>352</v>
      </c>
      <c r="D158" s="14">
        <v>0</v>
      </c>
    </row>
    <row r="159" spans="1:4" x14ac:dyDescent="0.5">
      <c r="A159" s="14">
        <v>0</v>
      </c>
      <c r="B159" s="14" t="s">
        <v>351</v>
      </c>
      <c r="C159" s="14" t="s">
        <v>352</v>
      </c>
      <c r="D159" s="14">
        <v>0</v>
      </c>
    </row>
    <row r="160" spans="1:4" x14ac:dyDescent="0.5">
      <c r="A160" s="14">
        <v>0</v>
      </c>
      <c r="B160" s="14" t="s">
        <v>351</v>
      </c>
      <c r="C160" s="14" t="s">
        <v>352</v>
      </c>
      <c r="D160" s="14">
        <v>0</v>
      </c>
    </row>
    <row r="161" spans="1:4" x14ac:dyDescent="0.5">
      <c r="A161" s="14">
        <v>0</v>
      </c>
      <c r="B161" s="14" t="s">
        <v>351</v>
      </c>
      <c r="C161" s="14" t="s">
        <v>352</v>
      </c>
      <c r="D161" s="14">
        <v>0</v>
      </c>
    </row>
    <row r="162" spans="1:4" x14ac:dyDescent="0.5">
      <c r="A162" s="14">
        <v>0</v>
      </c>
      <c r="B162" s="14" t="s">
        <v>351</v>
      </c>
      <c r="C162" s="14" t="s">
        <v>352</v>
      </c>
      <c r="D162" s="14">
        <v>0</v>
      </c>
    </row>
    <row r="163" spans="1:4" x14ac:dyDescent="0.5">
      <c r="A163" s="14">
        <v>0</v>
      </c>
      <c r="B163" s="14" t="s">
        <v>351</v>
      </c>
      <c r="C163" s="14" t="s">
        <v>352</v>
      </c>
      <c r="D163" s="14">
        <v>0</v>
      </c>
    </row>
    <row r="164" spans="1:4" x14ac:dyDescent="0.5">
      <c r="A164" s="14">
        <v>0</v>
      </c>
      <c r="B164" s="14" t="s">
        <v>351</v>
      </c>
      <c r="C164" s="14" t="s">
        <v>352</v>
      </c>
      <c r="D164" s="14">
        <v>0</v>
      </c>
    </row>
    <row r="165" spans="1:4" x14ac:dyDescent="0.5">
      <c r="A165" s="14">
        <v>0</v>
      </c>
      <c r="B165" s="14" t="s">
        <v>351</v>
      </c>
      <c r="C165" s="14" t="s">
        <v>352</v>
      </c>
      <c r="D165" s="14">
        <v>0</v>
      </c>
    </row>
    <row r="166" spans="1:4" x14ac:dyDescent="0.5">
      <c r="A166" s="14">
        <v>0</v>
      </c>
      <c r="B166" s="14" t="s">
        <v>351</v>
      </c>
      <c r="C166" s="14" t="s">
        <v>352</v>
      </c>
      <c r="D166" s="14">
        <v>0</v>
      </c>
    </row>
    <row r="167" spans="1:4" x14ac:dyDescent="0.5">
      <c r="A167" s="14">
        <v>0</v>
      </c>
      <c r="B167" s="14" t="s">
        <v>351</v>
      </c>
      <c r="C167" s="14" t="s">
        <v>352</v>
      </c>
      <c r="D167" s="14">
        <v>0</v>
      </c>
    </row>
    <row r="168" spans="1:4" x14ac:dyDescent="0.5">
      <c r="A168" s="14">
        <v>0</v>
      </c>
      <c r="B168" s="14" t="s">
        <v>351</v>
      </c>
      <c r="C168" s="14" t="s">
        <v>352</v>
      </c>
      <c r="D168" s="14">
        <v>0</v>
      </c>
    </row>
    <row r="169" spans="1:4" x14ac:dyDescent="0.5">
      <c r="A169" s="14">
        <v>0</v>
      </c>
      <c r="B169" s="14" t="s">
        <v>351</v>
      </c>
      <c r="C169" s="14" t="s">
        <v>352</v>
      </c>
      <c r="D169" s="14">
        <v>0</v>
      </c>
    </row>
    <row r="170" spans="1:4" x14ac:dyDescent="0.5">
      <c r="A170" s="14">
        <v>0</v>
      </c>
      <c r="B170" s="14" t="s">
        <v>351</v>
      </c>
      <c r="C170" s="14" t="s">
        <v>352</v>
      </c>
      <c r="D170" s="14">
        <v>0</v>
      </c>
    </row>
    <row r="171" spans="1:4" x14ac:dyDescent="0.5">
      <c r="A171" s="14">
        <v>0</v>
      </c>
      <c r="B171" s="14" t="s">
        <v>351</v>
      </c>
      <c r="C171" s="14" t="s">
        <v>352</v>
      </c>
      <c r="D171" s="14">
        <v>0</v>
      </c>
    </row>
    <row r="172" spans="1:4" x14ac:dyDescent="0.5">
      <c r="A172" s="14">
        <v>0</v>
      </c>
      <c r="B172" s="14" t="s">
        <v>351</v>
      </c>
      <c r="C172" s="14" t="s">
        <v>352</v>
      </c>
      <c r="D172" s="14">
        <v>0</v>
      </c>
    </row>
    <row r="173" spans="1:4" x14ac:dyDescent="0.5">
      <c r="A173" s="14">
        <v>0</v>
      </c>
      <c r="B173" s="14" t="s">
        <v>351</v>
      </c>
      <c r="C173" s="14" t="s">
        <v>352</v>
      </c>
      <c r="D173" s="14">
        <v>0</v>
      </c>
    </row>
    <row r="174" spans="1:4" x14ac:dyDescent="0.5">
      <c r="A174" s="14">
        <v>0</v>
      </c>
      <c r="B174" s="14" t="s">
        <v>351</v>
      </c>
      <c r="C174" s="14" t="s">
        <v>352</v>
      </c>
      <c r="D174" s="14">
        <v>0</v>
      </c>
    </row>
    <row r="175" spans="1:4" x14ac:dyDescent="0.5">
      <c r="A175" s="14">
        <v>0</v>
      </c>
      <c r="B175" s="14" t="s">
        <v>351</v>
      </c>
      <c r="C175" s="14" t="s">
        <v>352</v>
      </c>
      <c r="D175" s="14">
        <v>0</v>
      </c>
    </row>
    <row r="176" spans="1:4" x14ac:dyDescent="0.5">
      <c r="A176" s="14">
        <v>0</v>
      </c>
      <c r="B176" s="14" t="s">
        <v>351</v>
      </c>
      <c r="C176" s="14" t="s">
        <v>352</v>
      </c>
      <c r="D176" s="14">
        <v>0</v>
      </c>
    </row>
    <row r="177" spans="1:4" x14ac:dyDescent="0.5">
      <c r="A177" s="14">
        <v>0</v>
      </c>
      <c r="B177" s="14" t="s">
        <v>351</v>
      </c>
      <c r="C177" s="14" t="s">
        <v>352</v>
      </c>
      <c r="D177" s="14">
        <v>0</v>
      </c>
    </row>
    <row r="178" spans="1:4" x14ac:dyDescent="0.5">
      <c r="A178" s="14">
        <v>0</v>
      </c>
      <c r="B178" s="14" t="s">
        <v>351</v>
      </c>
      <c r="C178" s="14" t="s">
        <v>352</v>
      </c>
      <c r="D178" s="14">
        <v>0</v>
      </c>
    </row>
    <row r="179" spans="1:4" x14ac:dyDescent="0.5">
      <c r="A179" s="14">
        <v>0</v>
      </c>
      <c r="B179" s="14" t="s">
        <v>351</v>
      </c>
      <c r="C179" s="14" t="s">
        <v>352</v>
      </c>
      <c r="D179" s="14">
        <v>0</v>
      </c>
    </row>
    <row r="180" spans="1:4" x14ac:dyDescent="0.5">
      <c r="A180" s="14">
        <v>0</v>
      </c>
      <c r="B180" s="14" t="s">
        <v>351</v>
      </c>
      <c r="C180" s="14" t="s">
        <v>352</v>
      </c>
      <c r="D180" s="14">
        <v>0</v>
      </c>
    </row>
    <row r="181" spans="1:4" x14ac:dyDescent="0.5">
      <c r="A181" s="14">
        <v>0</v>
      </c>
      <c r="B181" s="14" t="s">
        <v>351</v>
      </c>
      <c r="C181" s="14" t="s">
        <v>352</v>
      </c>
      <c r="D181" s="14">
        <v>0</v>
      </c>
    </row>
    <row r="182" spans="1:4" x14ac:dyDescent="0.5">
      <c r="A182" s="14">
        <v>0</v>
      </c>
      <c r="B182" s="14" t="s">
        <v>351</v>
      </c>
      <c r="C182" s="14" t="s">
        <v>352</v>
      </c>
      <c r="D182" s="14">
        <v>0</v>
      </c>
    </row>
    <row r="183" spans="1:4" x14ac:dyDescent="0.5">
      <c r="A183" s="14">
        <v>0</v>
      </c>
      <c r="B183" s="14" t="s">
        <v>351</v>
      </c>
      <c r="C183" s="14" t="s">
        <v>352</v>
      </c>
      <c r="D183" s="14">
        <v>0</v>
      </c>
    </row>
    <row r="184" spans="1:4" x14ac:dyDescent="0.5">
      <c r="A184" s="14">
        <v>0</v>
      </c>
      <c r="B184" s="14" t="s">
        <v>351</v>
      </c>
      <c r="C184" s="14" t="s">
        <v>352</v>
      </c>
      <c r="D184" s="14">
        <v>0</v>
      </c>
    </row>
    <row r="185" spans="1:4" x14ac:dyDescent="0.5">
      <c r="A185" s="14">
        <v>0</v>
      </c>
      <c r="B185" s="14" t="s">
        <v>351</v>
      </c>
      <c r="C185" s="14" t="s">
        <v>352</v>
      </c>
      <c r="D185" s="14">
        <v>0</v>
      </c>
    </row>
    <row r="186" spans="1:4" x14ac:dyDescent="0.5">
      <c r="A186" s="14">
        <v>0</v>
      </c>
      <c r="B186" s="14" t="s">
        <v>351</v>
      </c>
      <c r="C186" s="14" t="s">
        <v>352</v>
      </c>
      <c r="D186" s="14">
        <v>0</v>
      </c>
    </row>
    <row r="187" spans="1:4" x14ac:dyDescent="0.5">
      <c r="A187" s="14">
        <v>0</v>
      </c>
      <c r="B187" s="14" t="s">
        <v>351</v>
      </c>
      <c r="C187" s="14" t="s">
        <v>352</v>
      </c>
      <c r="D187" s="14">
        <v>0</v>
      </c>
    </row>
    <row r="188" spans="1:4" x14ac:dyDescent="0.5">
      <c r="A188" s="14">
        <v>0</v>
      </c>
      <c r="B188" s="14" t="s">
        <v>351</v>
      </c>
      <c r="C188" s="14" t="s">
        <v>352</v>
      </c>
      <c r="D188" s="14">
        <v>0</v>
      </c>
    </row>
    <row r="189" spans="1:4" x14ac:dyDescent="0.5">
      <c r="A189" s="14">
        <v>0</v>
      </c>
      <c r="B189" s="14" t="s">
        <v>351</v>
      </c>
      <c r="C189" s="14" t="s">
        <v>352</v>
      </c>
      <c r="D189" s="14">
        <v>0</v>
      </c>
    </row>
    <row r="190" spans="1:4" x14ac:dyDescent="0.5">
      <c r="A190" s="14">
        <v>0</v>
      </c>
      <c r="B190" s="14" t="s">
        <v>351</v>
      </c>
      <c r="C190" s="14" t="s">
        <v>352</v>
      </c>
      <c r="D190" s="14">
        <v>0</v>
      </c>
    </row>
    <row r="191" spans="1:4" x14ac:dyDescent="0.5">
      <c r="A191" s="14">
        <v>0</v>
      </c>
      <c r="B191" s="14" t="s">
        <v>351</v>
      </c>
      <c r="C191" s="14" t="s">
        <v>352</v>
      </c>
      <c r="D191" s="14">
        <v>0</v>
      </c>
    </row>
    <row r="192" spans="1:4" x14ac:dyDescent="0.5">
      <c r="A192" s="14">
        <v>0</v>
      </c>
      <c r="B192" s="14" t="s">
        <v>351</v>
      </c>
      <c r="C192" s="14" t="s">
        <v>352</v>
      </c>
      <c r="D192" s="14">
        <v>0</v>
      </c>
    </row>
    <row r="193" spans="1:4" x14ac:dyDescent="0.5">
      <c r="A193" s="14">
        <v>0</v>
      </c>
      <c r="B193" s="14" t="s">
        <v>351</v>
      </c>
      <c r="C193" s="14" t="s">
        <v>352</v>
      </c>
      <c r="D193" s="14">
        <v>0</v>
      </c>
    </row>
    <row r="194" spans="1:4" x14ac:dyDescent="0.5">
      <c r="A194" s="14">
        <v>0</v>
      </c>
      <c r="B194" s="14" t="s">
        <v>351</v>
      </c>
      <c r="C194" s="14" t="s">
        <v>352</v>
      </c>
      <c r="D194" s="14">
        <v>0</v>
      </c>
    </row>
    <row r="195" spans="1:4" x14ac:dyDescent="0.5">
      <c r="A195" s="14">
        <v>0</v>
      </c>
      <c r="B195" s="14" t="s">
        <v>351</v>
      </c>
      <c r="C195" s="14" t="s">
        <v>352</v>
      </c>
      <c r="D195" s="14">
        <v>0</v>
      </c>
    </row>
    <row r="196" spans="1:4" x14ac:dyDescent="0.5">
      <c r="A196" s="14">
        <v>0</v>
      </c>
      <c r="B196" s="14" t="s">
        <v>351</v>
      </c>
      <c r="C196" s="14" t="s">
        <v>352</v>
      </c>
      <c r="D196" s="14">
        <v>0</v>
      </c>
    </row>
    <row r="197" spans="1:4" x14ac:dyDescent="0.5">
      <c r="A197" s="14">
        <v>0</v>
      </c>
      <c r="B197" s="14" t="s">
        <v>351</v>
      </c>
      <c r="C197" s="14" t="s">
        <v>352</v>
      </c>
      <c r="D197" s="14">
        <v>0</v>
      </c>
    </row>
    <row r="198" spans="1:4" x14ac:dyDescent="0.5">
      <c r="A198" s="14">
        <v>0</v>
      </c>
      <c r="B198" s="14" t="s">
        <v>351</v>
      </c>
      <c r="C198" s="14" t="s">
        <v>352</v>
      </c>
      <c r="D198" s="14">
        <v>0</v>
      </c>
    </row>
    <row r="199" spans="1:4" x14ac:dyDescent="0.5">
      <c r="A199" s="14">
        <v>0</v>
      </c>
      <c r="B199" s="14" t="s">
        <v>351</v>
      </c>
      <c r="C199" s="14" t="s">
        <v>352</v>
      </c>
      <c r="D199" s="14">
        <v>0</v>
      </c>
    </row>
    <row r="200" spans="1:4" x14ac:dyDescent="0.5">
      <c r="A200" s="14">
        <v>0</v>
      </c>
      <c r="B200" s="14" t="s">
        <v>351</v>
      </c>
      <c r="C200" s="14" t="s">
        <v>352</v>
      </c>
      <c r="D200" s="14">
        <v>0</v>
      </c>
    </row>
    <row r="201" spans="1:4" x14ac:dyDescent="0.5">
      <c r="A201" s="14">
        <v>0</v>
      </c>
      <c r="B201" s="14" t="s">
        <v>351</v>
      </c>
      <c r="C201" s="14" t="s">
        <v>352</v>
      </c>
      <c r="D201" s="14">
        <v>0</v>
      </c>
    </row>
    <row r="202" spans="1:4" x14ac:dyDescent="0.5">
      <c r="A202" s="14">
        <v>0</v>
      </c>
      <c r="B202" s="14" t="s">
        <v>351</v>
      </c>
      <c r="C202" s="14" t="s">
        <v>352</v>
      </c>
      <c r="D202" s="14">
        <v>0</v>
      </c>
    </row>
    <row r="203" spans="1:4" x14ac:dyDescent="0.5">
      <c r="A203" s="14">
        <v>0</v>
      </c>
      <c r="B203" s="14" t="s">
        <v>351</v>
      </c>
      <c r="C203" s="14" t="s">
        <v>352</v>
      </c>
      <c r="D203" s="14">
        <v>0</v>
      </c>
    </row>
    <row r="204" spans="1:4" x14ac:dyDescent="0.5">
      <c r="A204" s="14">
        <v>0</v>
      </c>
      <c r="B204" s="14" t="s">
        <v>351</v>
      </c>
      <c r="C204" s="14" t="s">
        <v>352</v>
      </c>
      <c r="D204" s="14">
        <v>0</v>
      </c>
    </row>
    <row r="205" spans="1:4" x14ac:dyDescent="0.5">
      <c r="A205" s="14">
        <v>0</v>
      </c>
      <c r="B205" s="14" t="s">
        <v>351</v>
      </c>
      <c r="C205" s="14" t="s">
        <v>352</v>
      </c>
      <c r="D205" s="14">
        <v>0</v>
      </c>
    </row>
    <row r="206" spans="1:4" x14ac:dyDescent="0.5">
      <c r="A206" s="14">
        <v>0</v>
      </c>
      <c r="B206" s="14" t="s">
        <v>351</v>
      </c>
      <c r="C206" s="14" t="s">
        <v>352</v>
      </c>
      <c r="D206" s="14">
        <v>0</v>
      </c>
    </row>
    <row r="207" spans="1:4" x14ac:dyDescent="0.5">
      <c r="A207" s="14">
        <v>0</v>
      </c>
      <c r="B207" s="14" t="s">
        <v>351</v>
      </c>
      <c r="C207" s="14" t="s">
        <v>352</v>
      </c>
      <c r="D207" s="14">
        <v>0</v>
      </c>
    </row>
    <row r="208" spans="1:4" x14ac:dyDescent="0.5">
      <c r="A208" s="14">
        <v>0</v>
      </c>
      <c r="B208" s="14" t="s">
        <v>351</v>
      </c>
      <c r="C208" s="14" t="s">
        <v>352</v>
      </c>
      <c r="D208" s="14">
        <v>0</v>
      </c>
    </row>
    <row r="209" spans="1:4" x14ac:dyDescent="0.5">
      <c r="A209" s="14">
        <v>0</v>
      </c>
      <c r="B209" s="14" t="s">
        <v>351</v>
      </c>
      <c r="C209" s="14" t="s">
        <v>352</v>
      </c>
      <c r="D209" s="14">
        <v>0</v>
      </c>
    </row>
    <row r="210" spans="1:4" x14ac:dyDescent="0.5">
      <c r="A210" s="14">
        <v>0</v>
      </c>
      <c r="B210" s="14" t="s">
        <v>351</v>
      </c>
      <c r="C210" s="14" t="s">
        <v>352</v>
      </c>
      <c r="D210" s="14">
        <v>0</v>
      </c>
    </row>
    <row r="211" spans="1:4" x14ac:dyDescent="0.5">
      <c r="A211" s="14">
        <v>0</v>
      </c>
      <c r="B211" s="14" t="s">
        <v>351</v>
      </c>
      <c r="C211" s="14" t="s">
        <v>352</v>
      </c>
      <c r="D211" s="14">
        <v>0</v>
      </c>
    </row>
    <row r="212" spans="1:4" x14ac:dyDescent="0.5">
      <c r="A212" s="14">
        <v>0</v>
      </c>
      <c r="B212" s="14" t="s">
        <v>351</v>
      </c>
      <c r="C212" s="14" t="s">
        <v>352</v>
      </c>
      <c r="D212" s="14">
        <v>0</v>
      </c>
    </row>
    <row r="213" spans="1:4" x14ac:dyDescent="0.5">
      <c r="A213" s="14">
        <v>0</v>
      </c>
      <c r="B213" s="14" t="s">
        <v>351</v>
      </c>
      <c r="C213" s="14" t="s">
        <v>352</v>
      </c>
      <c r="D213" s="14">
        <v>0</v>
      </c>
    </row>
    <row r="214" spans="1:4" x14ac:dyDescent="0.5">
      <c r="A214" s="14">
        <v>0</v>
      </c>
      <c r="B214" s="14" t="s">
        <v>351</v>
      </c>
      <c r="C214" s="14" t="s">
        <v>352</v>
      </c>
      <c r="D214" s="14">
        <v>0</v>
      </c>
    </row>
    <row r="215" spans="1:4" x14ac:dyDescent="0.5">
      <c r="A215" s="14">
        <v>0</v>
      </c>
      <c r="B215" s="14" t="s">
        <v>351</v>
      </c>
      <c r="C215" s="14" t="s">
        <v>352</v>
      </c>
      <c r="D215" s="14">
        <v>0</v>
      </c>
    </row>
    <row r="216" spans="1:4" x14ac:dyDescent="0.5">
      <c r="A216" s="14">
        <v>0</v>
      </c>
      <c r="B216" s="14" t="s">
        <v>351</v>
      </c>
      <c r="C216" s="14" t="s">
        <v>352</v>
      </c>
      <c r="D216" s="14">
        <v>0</v>
      </c>
    </row>
    <row r="217" spans="1:4" x14ac:dyDescent="0.5">
      <c r="A217" s="14">
        <v>0</v>
      </c>
      <c r="B217" s="14" t="s">
        <v>351</v>
      </c>
      <c r="C217" s="14" t="s">
        <v>352</v>
      </c>
      <c r="D217" s="14">
        <v>0</v>
      </c>
    </row>
    <row r="218" spans="1:4" x14ac:dyDescent="0.5">
      <c r="A218" s="14">
        <v>0</v>
      </c>
      <c r="B218" s="14" t="s">
        <v>351</v>
      </c>
      <c r="C218" s="14" t="s">
        <v>352</v>
      </c>
      <c r="D218" s="14">
        <v>0</v>
      </c>
    </row>
    <row r="219" spans="1:4" x14ac:dyDescent="0.5">
      <c r="A219" s="14">
        <v>0</v>
      </c>
      <c r="B219" s="14" t="s">
        <v>351</v>
      </c>
      <c r="C219" s="14" t="s">
        <v>352</v>
      </c>
      <c r="D219" s="14">
        <v>0</v>
      </c>
    </row>
    <row r="220" spans="1:4" x14ac:dyDescent="0.5">
      <c r="A220" s="14">
        <v>0</v>
      </c>
      <c r="B220" s="14" t="s">
        <v>351</v>
      </c>
      <c r="C220" s="14" t="s">
        <v>352</v>
      </c>
      <c r="D220" s="14">
        <v>0</v>
      </c>
    </row>
    <row r="221" spans="1:4" x14ac:dyDescent="0.5">
      <c r="A221" s="14">
        <v>0</v>
      </c>
      <c r="B221" s="14" t="s">
        <v>351</v>
      </c>
      <c r="C221" s="14" t="s">
        <v>352</v>
      </c>
      <c r="D221" s="14">
        <v>0</v>
      </c>
    </row>
    <row r="222" spans="1:4" x14ac:dyDescent="0.5">
      <c r="A222" s="14">
        <v>0</v>
      </c>
      <c r="B222" s="14" t="s">
        <v>351</v>
      </c>
      <c r="C222" s="14" t="s">
        <v>352</v>
      </c>
      <c r="D222" s="14">
        <v>0</v>
      </c>
    </row>
    <row r="223" spans="1:4" x14ac:dyDescent="0.5">
      <c r="A223" s="14">
        <v>0</v>
      </c>
      <c r="B223" s="14" t="s">
        <v>351</v>
      </c>
      <c r="C223" s="14" t="s">
        <v>352</v>
      </c>
      <c r="D223" s="14">
        <v>0</v>
      </c>
    </row>
    <row r="224" spans="1:4" x14ac:dyDescent="0.5">
      <c r="A224" s="14">
        <v>0</v>
      </c>
      <c r="B224" s="14" t="s">
        <v>351</v>
      </c>
      <c r="C224" s="14" t="s">
        <v>352</v>
      </c>
      <c r="D224" s="14">
        <v>0</v>
      </c>
    </row>
    <row r="225" spans="1:4" x14ac:dyDescent="0.5">
      <c r="A225" s="14">
        <v>0</v>
      </c>
      <c r="B225" s="14" t="s">
        <v>351</v>
      </c>
      <c r="C225" s="14" t="s">
        <v>352</v>
      </c>
      <c r="D225" s="14">
        <v>0</v>
      </c>
    </row>
    <row r="226" spans="1:4" x14ac:dyDescent="0.5">
      <c r="A226" s="14">
        <v>0</v>
      </c>
      <c r="B226" s="14" t="s">
        <v>351</v>
      </c>
      <c r="C226" s="14" t="s">
        <v>352</v>
      </c>
      <c r="D226" s="14">
        <v>0</v>
      </c>
    </row>
    <row r="227" spans="1:4" x14ac:dyDescent="0.5">
      <c r="A227" s="14">
        <v>0</v>
      </c>
      <c r="B227" s="14" t="s">
        <v>351</v>
      </c>
      <c r="C227" s="14" t="s">
        <v>352</v>
      </c>
      <c r="D227" s="14">
        <v>0</v>
      </c>
    </row>
    <row r="228" spans="1:4" x14ac:dyDescent="0.5">
      <c r="A228" s="14">
        <v>0</v>
      </c>
      <c r="B228" s="14" t="s">
        <v>351</v>
      </c>
      <c r="C228" s="14" t="s">
        <v>352</v>
      </c>
      <c r="D228" s="14">
        <v>0</v>
      </c>
    </row>
    <row r="229" spans="1:4" x14ac:dyDescent="0.5">
      <c r="A229" s="14">
        <v>0</v>
      </c>
      <c r="B229" s="14" t="s">
        <v>351</v>
      </c>
      <c r="C229" s="14" t="s">
        <v>352</v>
      </c>
      <c r="D229" s="14">
        <v>0</v>
      </c>
    </row>
    <row r="230" spans="1:4" x14ac:dyDescent="0.5">
      <c r="A230" s="14">
        <v>0</v>
      </c>
      <c r="B230" s="14" t="s">
        <v>351</v>
      </c>
      <c r="C230" s="14" t="s">
        <v>352</v>
      </c>
      <c r="D230" s="14">
        <v>0</v>
      </c>
    </row>
    <row r="231" spans="1:4" x14ac:dyDescent="0.5">
      <c r="A231" s="14">
        <v>0</v>
      </c>
      <c r="B231" s="14" t="s">
        <v>351</v>
      </c>
      <c r="C231" s="14" t="s">
        <v>352</v>
      </c>
      <c r="D231" s="14">
        <v>0</v>
      </c>
    </row>
    <row r="232" spans="1:4" x14ac:dyDescent="0.5">
      <c r="A232" s="14">
        <v>0</v>
      </c>
      <c r="B232" s="14" t="s">
        <v>351</v>
      </c>
      <c r="C232" s="14" t="s">
        <v>352</v>
      </c>
      <c r="D232" s="14">
        <v>0</v>
      </c>
    </row>
    <row r="233" spans="1:4" x14ac:dyDescent="0.5">
      <c r="A233" s="14">
        <v>0</v>
      </c>
      <c r="B233" s="14" t="s">
        <v>351</v>
      </c>
      <c r="C233" s="14" t="s">
        <v>352</v>
      </c>
      <c r="D233" s="14">
        <v>0</v>
      </c>
    </row>
    <row r="234" spans="1:4" x14ac:dyDescent="0.5">
      <c r="A234" s="14">
        <v>0</v>
      </c>
      <c r="B234" s="14" t="s">
        <v>351</v>
      </c>
      <c r="C234" s="14" t="s">
        <v>352</v>
      </c>
      <c r="D234" s="14">
        <v>0</v>
      </c>
    </row>
    <row r="235" spans="1:4" x14ac:dyDescent="0.5">
      <c r="A235" s="14">
        <v>0</v>
      </c>
      <c r="B235" s="14" t="s">
        <v>351</v>
      </c>
      <c r="C235" s="14" t="s">
        <v>352</v>
      </c>
      <c r="D235" s="14">
        <v>0</v>
      </c>
    </row>
    <row r="236" spans="1:4" x14ac:dyDescent="0.5">
      <c r="A236" s="14">
        <v>0</v>
      </c>
      <c r="B236" s="14" t="s">
        <v>351</v>
      </c>
      <c r="C236" s="14" t="s">
        <v>352</v>
      </c>
      <c r="D236" s="14">
        <v>0</v>
      </c>
    </row>
    <row r="237" spans="1:4" x14ac:dyDescent="0.5">
      <c r="A237" s="14">
        <v>0</v>
      </c>
      <c r="B237" s="14" t="s">
        <v>351</v>
      </c>
      <c r="C237" s="14" t="s">
        <v>352</v>
      </c>
      <c r="D237" s="14">
        <v>0</v>
      </c>
    </row>
    <row r="238" spans="1:4" x14ac:dyDescent="0.5">
      <c r="A238" s="14">
        <v>0</v>
      </c>
      <c r="B238" s="14" t="s">
        <v>351</v>
      </c>
      <c r="C238" s="14" t="s">
        <v>352</v>
      </c>
      <c r="D238" s="14">
        <v>0</v>
      </c>
    </row>
    <row r="239" spans="1:4" x14ac:dyDescent="0.5">
      <c r="A239" s="14">
        <v>0</v>
      </c>
      <c r="B239" s="14" t="s">
        <v>351</v>
      </c>
      <c r="C239" s="14" t="s">
        <v>352</v>
      </c>
      <c r="D239" s="14">
        <v>0</v>
      </c>
    </row>
    <row r="240" spans="1:4" x14ac:dyDescent="0.5">
      <c r="A240" s="14">
        <v>0</v>
      </c>
      <c r="B240" s="14" t="s">
        <v>351</v>
      </c>
      <c r="C240" s="14" t="s">
        <v>352</v>
      </c>
      <c r="D240" s="14">
        <v>0</v>
      </c>
    </row>
    <row r="241" spans="1:4" x14ac:dyDescent="0.5">
      <c r="A241" s="14">
        <v>0</v>
      </c>
      <c r="B241" s="14" t="s">
        <v>351</v>
      </c>
      <c r="C241" s="14" t="s">
        <v>352</v>
      </c>
      <c r="D241" s="14">
        <v>0</v>
      </c>
    </row>
    <row r="242" spans="1:4" x14ac:dyDescent="0.5">
      <c r="A242" s="14">
        <v>0</v>
      </c>
      <c r="B242" s="14" t="s">
        <v>351</v>
      </c>
      <c r="C242" s="14" t="s">
        <v>352</v>
      </c>
      <c r="D242" s="14">
        <v>0</v>
      </c>
    </row>
    <row r="243" spans="1:4" x14ac:dyDescent="0.5">
      <c r="A243" s="14">
        <v>0</v>
      </c>
      <c r="B243" s="14" t="s">
        <v>351</v>
      </c>
      <c r="C243" s="14" t="s">
        <v>352</v>
      </c>
      <c r="D243" s="14">
        <v>0</v>
      </c>
    </row>
    <row r="244" spans="1:4" x14ac:dyDescent="0.5">
      <c r="A244" s="14">
        <v>0</v>
      </c>
      <c r="B244" s="14" t="s">
        <v>351</v>
      </c>
      <c r="C244" s="14" t="s">
        <v>352</v>
      </c>
      <c r="D244" s="14">
        <v>0</v>
      </c>
    </row>
    <row r="245" spans="1:4" x14ac:dyDescent="0.5">
      <c r="A245" s="14">
        <v>0</v>
      </c>
      <c r="B245" s="14" t="s">
        <v>351</v>
      </c>
      <c r="C245" s="14" t="s">
        <v>352</v>
      </c>
      <c r="D245" s="14">
        <v>0</v>
      </c>
    </row>
    <row r="246" spans="1:4" x14ac:dyDescent="0.5">
      <c r="A246" s="14">
        <v>0</v>
      </c>
      <c r="B246" s="14" t="s">
        <v>351</v>
      </c>
      <c r="C246" s="14" t="s">
        <v>352</v>
      </c>
      <c r="D246" s="14">
        <v>0</v>
      </c>
    </row>
    <row r="247" spans="1:4" x14ac:dyDescent="0.5">
      <c r="A247" s="14">
        <v>0</v>
      </c>
      <c r="B247" s="14" t="s">
        <v>351</v>
      </c>
      <c r="C247" s="14" t="s">
        <v>352</v>
      </c>
      <c r="D247" s="14">
        <v>0</v>
      </c>
    </row>
    <row r="248" spans="1:4" x14ac:dyDescent="0.5">
      <c r="A248" s="14">
        <v>0</v>
      </c>
      <c r="B248" s="14" t="s">
        <v>351</v>
      </c>
      <c r="C248" s="14" t="s">
        <v>352</v>
      </c>
      <c r="D248" s="14">
        <v>0</v>
      </c>
    </row>
    <row r="249" spans="1:4" x14ac:dyDescent="0.5">
      <c r="A249" s="14">
        <v>0</v>
      </c>
      <c r="B249" s="14" t="s">
        <v>351</v>
      </c>
      <c r="C249" s="14" t="s">
        <v>352</v>
      </c>
      <c r="D249" s="14">
        <v>0</v>
      </c>
    </row>
    <row r="250" spans="1:4" x14ac:dyDescent="0.5">
      <c r="A250" s="14">
        <v>0</v>
      </c>
      <c r="B250" s="14" t="s">
        <v>351</v>
      </c>
      <c r="C250" s="14" t="s">
        <v>352</v>
      </c>
      <c r="D250" s="14">
        <v>0</v>
      </c>
    </row>
    <row r="251" spans="1:4" x14ac:dyDescent="0.5">
      <c r="A251" s="14">
        <v>0</v>
      </c>
      <c r="B251" s="14" t="s">
        <v>351</v>
      </c>
      <c r="C251" s="14" t="s">
        <v>352</v>
      </c>
      <c r="D251" s="14">
        <v>0</v>
      </c>
    </row>
    <row r="252" spans="1:4" x14ac:dyDescent="0.5">
      <c r="A252" s="14">
        <v>0</v>
      </c>
      <c r="B252" s="14" t="s">
        <v>351</v>
      </c>
      <c r="C252" s="14" t="s">
        <v>352</v>
      </c>
      <c r="D252" s="14">
        <v>0</v>
      </c>
    </row>
    <row r="253" spans="1:4" x14ac:dyDescent="0.5">
      <c r="A253" s="14">
        <v>0</v>
      </c>
      <c r="B253" s="14" t="s">
        <v>351</v>
      </c>
      <c r="C253" s="14" t="s">
        <v>352</v>
      </c>
      <c r="D253" s="14">
        <v>0</v>
      </c>
    </row>
    <row r="254" spans="1:4" x14ac:dyDescent="0.5">
      <c r="A254" s="14">
        <v>0</v>
      </c>
      <c r="B254" s="14" t="s">
        <v>351</v>
      </c>
      <c r="C254" s="14" t="s">
        <v>352</v>
      </c>
      <c r="D254" s="14">
        <v>0</v>
      </c>
    </row>
    <row r="255" spans="1:4" x14ac:dyDescent="0.5">
      <c r="A255" s="14">
        <v>0</v>
      </c>
      <c r="B255" s="14" t="s">
        <v>351</v>
      </c>
      <c r="C255" s="14" t="s">
        <v>352</v>
      </c>
      <c r="D255" s="14">
        <v>0</v>
      </c>
    </row>
    <row r="256" spans="1:4" x14ac:dyDescent="0.5">
      <c r="A256" s="14">
        <v>0</v>
      </c>
      <c r="B256" s="14" t="s">
        <v>351</v>
      </c>
      <c r="C256" s="14" t="s">
        <v>352</v>
      </c>
      <c r="D256" s="14">
        <v>0</v>
      </c>
    </row>
    <row r="257" spans="1:4" x14ac:dyDescent="0.5">
      <c r="A257" s="14">
        <v>0</v>
      </c>
      <c r="B257" s="14" t="s">
        <v>351</v>
      </c>
      <c r="C257" s="14" t="s">
        <v>352</v>
      </c>
      <c r="D257" s="14">
        <v>0</v>
      </c>
    </row>
    <row r="258" spans="1:4" x14ac:dyDescent="0.5">
      <c r="A258" s="14">
        <v>0</v>
      </c>
      <c r="B258" s="14" t="s">
        <v>351</v>
      </c>
      <c r="C258" s="14" t="s">
        <v>352</v>
      </c>
      <c r="D258" s="14">
        <v>0</v>
      </c>
    </row>
    <row r="259" spans="1:4" x14ac:dyDescent="0.5">
      <c r="A259" s="14">
        <v>0</v>
      </c>
      <c r="B259" s="14" t="s">
        <v>351</v>
      </c>
      <c r="C259" s="14" t="s">
        <v>352</v>
      </c>
      <c r="D259" s="14">
        <v>0</v>
      </c>
    </row>
    <row r="260" spans="1:4" x14ac:dyDescent="0.5">
      <c r="A260" s="14">
        <v>0</v>
      </c>
      <c r="B260" s="14" t="s">
        <v>351</v>
      </c>
      <c r="C260" s="14" t="s">
        <v>352</v>
      </c>
      <c r="D260" s="14">
        <v>0</v>
      </c>
    </row>
    <row r="261" spans="1:4" x14ac:dyDescent="0.5">
      <c r="A261" s="14">
        <v>0</v>
      </c>
      <c r="B261" s="14" t="s">
        <v>351</v>
      </c>
      <c r="C261" s="14" t="s">
        <v>352</v>
      </c>
      <c r="D261" s="14">
        <v>0</v>
      </c>
    </row>
    <row r="262" spans="1:4" x14ac:dyDescent="0.5">
      <c r="A262" s="14">
        <v>0</v>
      </c>
      <c r="B262" s="14" t="s">
        <v>351</v>
      </c>
      <c r="C262" s="14" t="s">
        <v>352</v>
      </c>
      <c r="D262" s="14">
        <v>0</v>
      </c>
    </row>
    <row r="263" spans="1:4" x14ac:dyDescent="0.5">
      <c r="A263" s="14">
        <v>0</v>
      </c>
      <c r="B263" s="14" t="s">
        <v>351</v>
      </c>
      <c r="C263" s="14" t="s">
        <v>352</v>
      </c>
      <c r="D263" s="14">
        <v>0</v>
      </c>
    </row>
    <row r="264" spans="1:4" x14ac:dyDescent="0.5">
      <c r="A264" s="14">
        <v>0</v>
      </c>
      <c r="B264" s="14" t="s">
        <v>351</v>
      </c>
      <c r="C264" s="14" t="s">
        <v>352</v>
      </c>
      <c r="D264" s="14">
        <v>0</v>
      </c>
    </row>
    <row r="265" spans="1:4" x14ac:dyDescent="0.5">
      <c r="A265" s="14">
        <v>0</v>
      </c>
      <c r="B265" s="14" t="s">
        <v>351</v>
      </c>
      <c r="C265" s="14" t="s">
        <v>352</v>
      </c>
      <c r="D265" s="14">
        <v>0</v>
      </c>
    </row>
    <row r="266" spans="1:4" x14ac:dyDescent="0.5">
      <c r="A266" s="14">
        <v>0</v>
      </c>
      <c r="B266" s="14" t="s">
        <v>351</v>
      </c>
      <c r="C266" s="14" t="s">
        <v>352</v>
      </c>
      <c r="D266" s="14">
        <v>0</v>
      </c>
    </row>
    <row r="267" spans="1:4" x14ac:dyDescent="0.5">
      <c r="A267" s="14">
        <v>0</v>
      </c>
      <c r="B267" s="14" t="s">
        <v>351</v>
      </c>
      <c r="C267" s="14" t="s">
        <v>352</v>
      </c>
      <c r="D267" s="14">
        <v>0</v>
      </c>
    </row>
    <row r="268" spans="1:4" x14ac:dyDescent="0.5">
      <c r="A268" s="14">
        <v>0</v>
      </c>
      <c r="B268" s="14" t="s">
        <v>351</v>
      </c>
      <c r="C268" s="14" t="s">
        <v>352</v>
      </c>
      <c r="D268" s="14">
        <v>0</v>
      </c>
    </row>
    <row r="269" spans="1:4" x14ac:dyDescent="0.5">
      <c r="A269" s="14">
        <v>0</v>
      </c>
      <c r="B269" s="14" t="s">
        <v>351</v>
      </c>
      <c r="C269" s="14" t="s">
        <v>352</v>
      </c>
      <c r="D269" s="14">
        <v>0</v>
      </c>
    </row>
    <row r="270" spans="1:4" x14ac:dyDescent="0.5">
      <c r="A270" s="14">
        <v>0</v>
      </c>
      <c r="B270" s="14" t="s">
        <v>351</v>
      </c>
      <c r="C270" s="14" t="s">
        <v>352</v>
      </c>
      <c r="D270" s="14">
        <v>0</v>
      </c>
    </row>
    <row r="271" spans="1:4" x14ac:dyDescent="0.5">
      <c r="A271" s="14">
        <v>0</v>
      </c>
      <c r="B271" s="14" t="s">
        <v>351</v>
      </c>
      <c r="C271" s="14" t="s">
        <v>352</v>
      </c>
      <c r="D271" s="14">
        <v>0</v>
      </c>
    </row>
    <row r="272" spans="1:4" x14ac:dyDescent="0.5">
      <c r="A272" s="14">
        <v>0</v>
      </c>
      <c r="B272" s="14" t="s">
        <v>351</v>
      </c>
      <c r="C272" s="14" t="s">
        <v>352</v>
      </c>
      <c r="D272" s="14">
        <v>0</v>
      </c>
    </row>
    <row r="273" spans="1:4" x14ac:dyDescent="0.5">
      <c r="A273" s="14">
        <v>0</v>
      </c>
      <c r="B273" s="14" t="s">
        <v>351</v>
      </c>
      <c r="C273" s="14" t="s">
        <v>352</v>
      </c>
      <c r="D273" s="14">
        <v>0</v>
      </c>
    </row>
    <row r="274" spans="1:4" x14ac:dyDescent="0.5">
      <c r="A274" s="14">
        <v>0</v>
      </c>
      <c r="B274" s="14" t="s">
        <v>351</v>
      </c>
      <c r="C274" s="14" t="s">
        <v>352</v>
      </c>
      <c r="D274" s="14">
        <v>0</v>
      </c>
    </row>
    <row r="275" spans="1:4" x14ac:dyDescent="0.5">
      <c r="A275" s="14">
        <v>0</v>
      </c>
      <c r="B275" s="14" t="s">
        <v>351</v>
      </c>
      <c r="C275" s="14" t="s">
        <v>352</v>
      </c>
      <c r="D275" s="14">
        <v>0</v>
      </c>
    </row>
    <row r="276" spans="1:4" x14ac:dyDescent="0.5">
      <c r="A276" s="14">
        <v>0</v>
      </c>
      <c r="B276" s="14" t="s">
        <v>351</v>
      </c>
      <c r="C276" s="14" t="s">
        <v>352</v>
      </c>
      <c r="D276" s="14">
        <v>0</v>
      </c>
    </row>
    <row r="277" spans="1:4" x14ac:dyDescent="0.5">
      <c r="A277" s="14">
        <v>0</v>
      </c>
      <c r="B277" s="14" t="s">
        <v>351</v>
      </c>
      <c r="C277" s="14" t="s">
        <v>352</v>
      </c>
      <c r="D277" s="14">
        <v>0</v>
      </c>
    </row>
    <row r="278" spans="1:4" x14ac:dyDescent="0.5">
      <c r="A278" s="14">
        <v>0</v>
      </c>
      <c r="B278" s="14" t="s">
        <v>351</v>
      </c>
      <c r="C278" s="14" t="s">
        <v>352</v>
      </c>
      <c r="D278" s="14">
        <v>0</v>
      </c>
    </row>
    <row r="279" spans="1:4" x14ac:dyDescent="0.5">
      <c r="A279" s="14">
        <v>0</v>
      </c>
      <c r="B279" s="14" t="s">
        <v>351</v>
      </c>
      <c r="C279" s="14" t="s">
        <v>352</v>
      </c>
      <c r="D279" s="14">
        <v>0</v>
      </c>
    </row>
    <row r="280" spans="1:4" x14ac:dyDescent="0.5">
      <c r="A280" s="14">
        <v>0</v>
      </c>
      <c r="B280" s="14" t="s">
        <v>351</v>
      </c>
      <c r="C280" s="14" t="s">
        <v>352</v>
      </c>
      <c r="D280" s="14">
        <v>0</v>
      </c>
    </row>
    <row r="281" spans="1:4" x14ac:dyDescent="0.5">
      <c r="A281" s="14">
        <v>0</v>
      </c>
      <c r="B281" s="14" t="s">
        <v>351</v>
      </c>
      <c r="C281" s="14" t="s">
        <v>352</v>
      </c>
      <c r="D281" s="14">
        <v>0</v>
      </c>
    </row>
    <row r="282" spans="1:4" x14ac:dyDescent="0.5">
      <c r="A282" s="14">
        <v>0</v>
      </c>
      <c r="B282" s="14" t="s">
        <v>351</v>
      </c>
      <c r="C282" s="14" t="s">
        <v>352</v>
      </c>
      <c r="D282" s="14">
        <v>0</v>
      </c>
    </row>
    <row r="283" spans="1:4" x14ac:dyDescent="0.5">
      <c r="A283" s="14">
        <v>0</v>
      </c>
      <c r="B283" s="14" t="s">
        <v>351</v>
      </c>
      <c r="C283" s="14" t="s">
        <v>352</v>
      </c>
      <c r="D283" s="14">
        <v>0</v>
      </c>
    </row>
    <row r="284" spans="1:4" x14ac:dyDescent="0.5">
      <c r="A284" s="14">
        <v>0</v>
      </c>
      <c r="B284" s="14" t="s">
        <v>351</v>
      </c>
      <c r="C284" s="14" t="s">
        <v>352</v>
      </c>
      <c r="D284" s="14">
        <v>0</v>
      </c>
    </row>
    <row r="285" spans="1:4" x14ac:dyDescent="0.5">
      <c r="A285" s="14">
        <v>0</v>
      </c>
      <c r="B285" s="14" t="s">
        <v>351</v>
      </c>
      <c r="C285" s="14" t="s">
        <v>352</v>
      </c>
      <c r="D285" s="14">
        <v>0</v>
      </c>
    </row>
    <row r="286" spans="1:4" x14ac:dyDescent="0.5">
      <c r="A286" s="14">
        <v>0</v>
      </c>
      <c r="B286" s="14" t="s">
        <v>351</v>
      </c>
      <c r="C286" s="14" t="s">
        <v>352</v>
      </c>
      <c r="D286" s="14">
        <v>0</v>
      </c>
    </row>
    <row r="287" spans="1:4" x14ac:dyDescent="0.5">
      <c r="A287" s="14">
        <v>0</v>
      </c>
      <c r="B287" s="14" t="s">
        <v>351</v>
      </c>
      <c r="C287" s="14" t="s">
        <v>352</v>
      </c>
      <c r="D287" s="14">
        <v>0</v>
      </c>
    </row>
    <row r="288" spans="1:4" x14ac:dyDescent="0.5">
      <c r="A288" s="14">
        <v>0</v>
      </c>
      <c r="B288" s="14" t="s">
        <v>351</v>
      </c>
      <c r="C288" s="14" t="s">
        <v>352</v>
      </c>
      <c r="D288" s="14">
        <v>0</v>
      </c>
    </row>
    <row r="289" spans="1:4" x14ac:dyDescent="0.5">
      <c r="A289" s="14">
        <v>0</v>
      </c>
      <c r="B289" s="14" t="s">
        <v>351</v>
      </c>
      <c r="C289" s="14" t="s">
        <v>352</v>
      </c>
      <c r="D289" s="14">
        <v>0</v>
      </c>
    </row>
    <row r="290" spans="1:4" x14ac:dyDescent="0.5">
      <c r="A290" s="14">
        <v>0</v>
      </c>
      <c r="B290" s="14" t="s">
        <v>351</v>
      </c>
      <c r="C290" s="14" t="s">
        <v>352</v>
      </c>
      <c r="D290" s="14">
        <v>0</v>
      </c>
    </row>
    <row r="291" spans="1:4" x14ac:dyDescent="0.5">
      <c r="A291" s="14">
        <v>0</v>
      </c>
      <c r="B291" s="14" t="s">
        <v>351</v>
      </c>
      <c r="C291" s="14" t="s">
        <v>352</v>
      </c>
      <c r="D291" s="14">
        <v>0</v>
      </c>
    </row>
    <row r="292" spans="1:4" x14ac:dyDescent="0.5">
      <c r="A292" s="14">
        <v>0</v>
      </c>
      <c r="B292" s="14" t="s">
        <v>351</v>
      </c>
      <c r="C292" s="14" t="s">
        <v>352</v>
      </c>
      <c r="D292" s="14">
        <v>0</v>
      </c>
    </row>
    <row r="293" spans="1:4" x14ac:dyDescent="0.5">
      <c r="A293" s="14">
        <v>0</v>
      </c>
      <c r="B293" s="14" t="s">
        <v>351</v>
      </c>
      <c r="C293" s="14" t="s">
        <v>352</v>
      </c>
      <c r="D293" s="14">
        <v>0</v>
      </c>
    </row>
    <row r="294" spans="1:4" x14ac:dyDescent="0.5">
      <c r="A294" s="14">
        <v>0</v>
      </c>
      <c r="B294" s="14" t="s">
        <v>351</v>
      </c>
      <c r="C294" s="14" t="s">
        <v>352</v>
      </c>
      <c r="D294" s="14">
        <v>0</v>
      </c>
    </row>
    <row r="295" spans="1:4" x14ac:dyDescent="0.5">
      <c r="A295" s="14">
        <v>0</v>
      </c>
      <c r="B295" s="14" t="s">
        <v>351</v>
      </c>
      <c r="C295" s="14" t="s">
        <v>352</v>
      </c>
      <c r="D295" s="14">
        <v>0</v>
      </c>
    </row>
    <row r="296" spans="1:4" x14ac:dyDescent="0.5">
      <c r="A296" s="14">
        <v>0</v>
      </c>
      <c r="B296" s="14" t="s">
        <v>351</v>
      </c>
      <c r="C296" s="14" t="s">
        <v>352</v>
      </c>
      <c r="D296" s="14">
        <v>0</v>
      </c>
    </row>
    <row r="297" spans="1:4" x14ac:dyDescent="0.5">
      <c r="A297" s="14">
        <v>0</v>
      </c>
      <c r="B297" s="14" t="s">
        <v>351</v>
      </c>
      <c r="C297" s="14" t="s">
        <v>352</v>
      </c>
      <c r="D297" s="14">
        <v>0</v>
      </c>
    </row>
    <row r="298" spans="1:4" x14ac:dyDescent="0.5">
      <c r="A298" s="14">
        <v>0</v>
      </c>
      <c r="B298" s="14" t="s">
        <v>351</v>
      </c>
      <c r="C298" s="14" t="s">
        <v>352</v>
      </c>
      <c r="D298" s="14">
        <v>0</v>
      </c>
    </row>
    <row r="299" spans="1:4" x14ac:dyDescent="0.5">
      <c r="A299" s="14">
        <v>0</v>
      </c>
      <c r="B299" s="14" t="s">
        <v>351</v>
      </c>
      <c r="C299" s="14" t="s">
        <v>352</v>
      </c>
      <c r="D299" s="14">
        <v>0</v>
      </c>
    </row>
    <row r="300" spans="1:4" x14ac:dyDescent="0.5">
      <c r="A300" s="14">
        <v>0</v>
      </c>
      <c r="B300" s="14" t="s">
        <v>351</v>
      </c>
      <c r="C300" s="14" t="s">
        <v>352</v>
      </c>
      <c r="D300" s="14">
        <v>0</v>
      </c>
    </row>
    <row r="301" spans="1:4" x14ac:dyDescent="0.5">
      <c r="A301" s="14">
        <v>0</v>
      </c>
      <c r="B301" s="14" t="s">
        <v>351</v>
      </c>
      <c r="C301" s="14" t="s">
        <v>352</v>
      </c>
      <c r="D301" s="14">
        <v>0</v>
      </c>
    </row>
    <row r="302" spans="1:4" x14ac:dyDescent="0.5">
      <c r="A302" s="14">
        <v>0</v>
      </c>
      <c r="B302" s="14" t="s">
        <v>351</v>
      </c>
      <c r="C302" s="14" t="s">
        <v>352</v>
      </c>
      <c r="D302" s="14">
        <v>0</v>
      </c>
    </row>
    <row r="303" spans="1:4" x14ac:dyDescent="0.5">
      <c r="A303" s="14">
        <v>0</v>
      </c>
      <c r="B303" s="14" t="s">
        <v>351</v>
      </c>
      <c r="C303" s="14" t="s">
        <v>352</v>
      </c>
      <c r="D303" s="14">
        <v>0</v>
      </c>
    </row>
    <row r="304" spans="1:4" x14ac:dyDescent="0.5">
      <c r="A304" s="14">
        <v>0</v>
      </c>
      <c r="B304" s="14" t="s">
        <v>351</v>
      </c>
      <c r="C304" s="14" t="s">
        <v>352</v>
      </c>
      <c r="D304" s="14">
        <v>0</v>
      </c>
    </row>
    <row r="305" spans="1:4" x14ac:dyDescent="0.5">
      <c r="A305" s="14">
        <v>0</v>
      </c>
      <c r="B305" s="14" t="s">
        <v>351</v>
      </c>
      <c r="C305" s="14" t="s">
        <v>352</v>
      </c>
      <c r="D305" s="14">
        <v>0</v>
      </c>
    </row>
    <row r="306" spans="1:4" x14ac:dyDescent="0.5">
      <c r="A306" s="14">
        <v>0</v>
      </c>
      <c r="B306" s="14" t="s">
        <v>351</v>
      </c>
      <c r="C306" s="14" t="s">
        <v>352</v>
      </c>
      <c r="D306" s="14">
        <v>0</v>
      </c>
    </row>
    <row r="307" spans="1:4" x14ac:dyDescent="0.5">
      <c r="A307" s="14">
        <v>0</v>
      </c>
      <c r="B307" s="14" t="s">
        <v>351</v>
      </c>
      <c r="C307" s="14" t="s">
        <v>352</v>
      </c>
      <c r="D307" s="14">
        <v>0</v>
      </c>
    </row>
    <row r="308" spans="1:4" x14ac:dyDescent="0.5">
      <c r="A308" s="14">
        <v>0</v>
      </c>
      <c r="B308" s="14" t="s">
        <v>351</v>
      </c>
      <c r="C308" s="14" t="s">
        <v>352</v>
      </c>
      <c r="D308" s="14">
        <v>0</v>
      </c>
    </row>
    <row r="309" spans="1:4" x14ac:dyDescent="0.5">
      <c r="A309" s="14">
        <v>0</v>
      </c>
      <c r="B309" s="14" t="s">
        <v>351</v>
      </c>
      <c r="C309" s="14" t="s">
        <v>352</v>
      </c>
      <c r="D309" s="14">
        <v>0</v>
      </c>
    </row>
    <row r="310" spans="1:4" x14ac:dyDescent="0.5">
      <c r="A310" s="14">
        <v>0</v>
      </c>
      <c r="B310" s="14" t="s">
        <v>351</v>
      </c>
      <c r="C310" s="14" t="s">
        <v>352</v>
      </c>
      <c r="D310" s="14">
        <v>0</v>
      </c>
    </row>
    <row r="311" spans="1:4" x14ac:dyDescent="0.5">
      <c r="A311" s="14">
        <v>0</v>
      </c>
      <c r="B311" s="14" t="s">
        <v>351</v>
      </c>
      <c r="C311" s="14" t="s">
        <v>352</v>
      </c>
      <c r="D311" s="14">
        <v>0</v>
      </c>
    </row>
    <row r="312" spans="1:4" x14ac:dyDescent="0.5">
      <c r="A312" s="14">
        <v>0</v>
      </c>
      <c r="B312" s="14" t="s">
        <v>351</v>
      </c>
      <c r="C312" s="14" t="s">
        <v>352</v>
      </c>
      <c r="D312" s="14">
        <v>0</v>
      </c>
    </row>
    <row r="313" spans="1:4" x14ac:dyDescent="0.5">
      <c r="A313" s="14">
        <v>0</v>
      </c>
      <c r="B313" s="14" t="s">
        <v>351</v>
      </c>
      <c r="C313" s="14" t="s">
        <v>352</v>
      </c>
      <c r="D313" s="14">
        <v>0</v>
      </c>
    </row>
    <row r="314" spans="1:4" x14ac:dyDescent="0.5">
      <c r="A314" s="14">
        <v>0</v>
      </c>
      <c r="B314" s="14" t="s">
        <v>351</v>
      </c>
      <c r="C314" s="14" t="s">
        <v>352</v>
      </c>
      <c r="D314" s="14">
        <v>0</v>
      </c>
    </row>
    <row r="315" spans="1:4" x14ac:dyDescent="0.5">
      <c r="A315" s="14">
        <v>0</v>
      </c>
      <c r="B315" s="14" t="s">
        <v>351</v>
      </c>
      <c r="C315" s="14" t="s">
        <v>352</v>
      </c>
      <c r="D315" s="14">
        <v>0</v>
      </c>
    </row>
    <row r="316" spans="1:4" x14ac:dyDescent="0.5">
      <c r="A316" s="14">
        <v>0</v>
      </c>
      <c r="B316" s="14" t="s">
        <v>351</v>
      </c>
      <c r="C316" s="14" t="s">
        <v>352</v>
      </c>
      <c r="D316" s="14">
        <v>0</v>
      </c>
    </row>
    <row r="317" spans="1:4" x14ac:dyDescent="0.5">
      <c r="A317" s="14">
        <v>0</v>
      </c>
      <c r="B317" s="14" t="s">
        <v>351</v>
      </c>
      <c r="C317" s="14" t="s">
        <v>352</v>
      </c>
      <c r="D317" s="14">
        <v>0</v>
      </c>
    </row>
    <row r="318" spans="1:4" x14ac:dyDescent="0.5">
      <c r="A318" s="14">
        <v>0</v>
      </c>
      <c r="B318" s="14" t="s">
        <v>351</v>
      </c>
      <c r="C318" s="14" t="s">
        <v>352</v>
      </c>
      <c r="D318" s="14">
        <v>0</v>
      </c>
    </row>
    <row r="319" spans="1:4" x14ac:dyDescent="0.5">
      <c r="A319" s="14">
        <v>0</v>
      </c>
      <c r="B319" s="14" t="s">
        <v>351</v>
      </c>
      <c r="C319" s="14" t="s">
        <v>352</v>
      </c>
      <c r="D319" s="14">
        <v>0</v>
      </c>
    </row>
    <row r="320" spans="1:4" x14ac:dyDescent="0.5">
      <c r="A320" s="14">
        <v>0</v>
      </c>
      <c r="B320" s="14" t="s">
        <v>351</v>
      </c>
      <c r="C320" s="14" t="s">
        <v>352</v>
      </c>
      <c r="D320" s="14">
        <v>0</v>
      </c>
    </row>
    <row r="321" spans="1:4" x14ac:dyDescent="0.5">
      <c r="A321" s="14">
        <v>0</v>
      </c>
      <c r="B321" s="14" t="s">
        <v>351</v>
      </c>
      <c r="C321" s="14" t="s">
        <v>352</v>
      </c>
      <c r="D321" s="14">
        <v>0</v>
      </c>
    </row>
    <row r="322" spans="1:4" x14ac:dyDescent="0.5">
      <c r="A322" s="14">
        <v>0</v>
      </c>
      <c r="B322" s="14" t="s">
        <v>351</v>
      </c>
      <c r="C322" s="14" t="s">
        <v>352</v>
      </c>
      <c r="D322" s="14">
        <v>0</v>
      </c>
    </row>
    <row r="323" spans="1:4" x14ac:dyDescent="0.5">
      <c r="A323" s="14">
        <v>0</v>
      </c>
      <c r="B323" s="14" t="s">
        <v>351</v>
      </c>
      <c r="C323" s="14" t="s">
        <v>352</v>
      </c>
      <c r="D323" s="14">
        <v>0</v>
      </c>
    </row>
    <row r="324" spans="1:4" x14ac:dyDescent="0.5">
      <c r="A324" s="14">
        <v>0</v>
      </c>
      <c r="B324" s="14" t="s">
        <v>351</v>
      </c>
      <c r="C324" s="14" t="s">
        <v>352</v>
      </c>
      <c r="D324" s="14">
        <v>0</v>
      </c>
    </row>
    <row r="325" spans="1:4" x14ac:dyDescent="0.5">
      <c r="A325" s="14">
        <v>0</v>
      </c>
      <c r="B325" s="14" t="s">
        <v>351</v>
      </c>
      <c r="C325" s="14" t="s">
        <v>352</v>
      </c>
      <c r="D325" s="14">
        <v>0</v>
      </c>
    </row>
    <row r="326" spans="1:4" x14ac:dyDescent="0.5">
      <c r="A326" s="14">
        <v>0</v>
      </c>
      <c r="B326" s="14" t="s">
        <v>351</v>
      </c>
      <c r="C326" s="14" t="s">
        <v>352</v>
      </c>
      <c r="D326" s="14">
        <v>0</v>
      </c>
    </row>
    <row r="327" spans="1:4" x14ac:dyDescent="0.5">
      <c r="A327" s="14">
        <v>0</v>
      </c>
      <c r="B327" s="14" t="s">
        <v>351</v>
      </c>
      <c r="C327" s="14" t="s">
        <v>352</v>
      </c>
      <c r="D327" s="14">
        <v>0</v>
      </c>
    </row>
    <row r="328" spans="1:4" x14ac:dyDescent="0.5">
      <c r="A328" s="14">
        <v>0</v>
      </c>
      <c r="B328" s="14" t="s">
        <v>351</v>
      </c>
      <c r="C328" s="14" t="s">
        <v>352</v>
      </c>
      <c r="D328" s="14">
        <v>0</v>
      </c>
    </row>
    <row r="329" spans="1:4" x14ac:dyDescent="0.5">
      <c r="A329" s="14">
        <v>0</v>
      </c>
      <c r="B329" s="14" t="s">
        <v>351</v>
      </c>
      <c r="C329" s="14" t="s">
        <v>352</v>
      </c>
      <c r="D329" s="14">
        <v>0</v>
      </c>
    </row>
    <row r="330" spans="1:4" x14ac:dyDescent="0.5">
      <c r="A330" s="14">
        <v>0</v>
      </c>
      <c r="B330" s="14" t="s">
        <v>351</v>
      </c>
      <c r="C330" s="14" t="s">
        <v>352</v>
      </c>
      <c r="D330" s="14">
        <v>0</v>
      </c>
    </row>
    <row r="331" spans="1:4" x14ac:dyDescent="0.5">
      <c r="A331" s="14">
        <v>0</v>
      </c>
      <c r="B331" s="14" t="s">
        <v>351</v>
      </c>
      <c r="C331" s="14" t="s">
        <v>352</v>
      </c>
      <c r="D331" s="14">
        <v>0</v>
      </c>
    </row>
    <row r="332" spans="1:4" x14ac:dyDescent="0.5">
      <c r="A332" s="14">
        <v>0</v>
      </c>
      <c r="B332" s="14" t="s">
        <v>351</v>
      </c>
      <c r="C332" s="14" t="s">
        <v>352</v>
      </c>
      <c r="D332" s="14">
        <v>0</v>
      </c>
    </row>
    <row r="333" spans="1:4" x14ac:dyDescent="0.5">
      <c r="A333" s="14">
        <v>0</v>
      </c>
      <c r="B333" s="14" t="s">
        <v>351</v>
      </c>
      <c r="C333" s="14" t="s">
        <v>352</v>
      </c>
      <c r="D333" s="14">
        <v>0</v>
      </c>
    </row>
    <row r="334" spans="1:4" x14ac:dyDescent="0.5">
      <c r="A334" s="14">
        <v>0</v>
      </c>
      <c r="B334" s="14" t="s">
        <v>351</v>
      </c>
      <c r="C334" s="14" t="s">
        <v>352</v>
      </c>
      <c r="D334" s="14">
        <v>0</v>
      </c>
    </row>
    <row r="335" spans="1:4" x14ac:dyDescent="0.5">
      <c r="A335" s="14">
        <v>0</v>
      </c>
      <c r="B335" s="14" t="s">
        <v>351</v>
      </c>
      <c r="C335" s="14" t="s">
        <v>352</v>
      </c>
      <c r="D335" s="14">
        <v>0</v>
      </c>
    </row>
    <row r="336" spans="1:4" x14ac:dyDescent="0.5">
      <c r="A336" s="14">
        <v>0</v>
      </c>
      <c r="B336" s="14" t="s">
        <v>351</v>
      </c>
      <c r="C336" s="14" t="s">
        <v>352</v>
      </c>
      <c r="D336" s="14">
        <v>0</v>
      </c>
    </row>
    <row r="337" spans="1:4" x14ac:dyDescent="0.5">
      <c r="A337" s="14">
        <v>0</v>
      </c>
      <c r="B337" s="14" t="s">
        <v>351</v>
      </c>
      <c r="C337" s="14" t="s">
        <v>352</v>
      </c>
      <c r="D337" s="14">
        <v>0</v>
      </c>
    </row>
    <row r="338" spans="1:4" x14ac:dyDescent="0.5">
      <c r="A338" s="14">
        <v>0</v>
      </c>
      <c r="B338" s="14" t="s">
        <v>351</v>
      </c>
      <c r="C338" s="14" t="s">
        <v>352</v>
      </c>
      <c r="D338" s="14">
        <v>0</v>
      </c>
    </row>
    <row r="339" spans="1:4" x14ac:dyDescent="0.5">
      <c r="A339" s="14">
        <v>0</v>
      </c>
      <c r="B339" s="14" t="s">
        <v>351</v>
      </c>
      <c r="C339" s="14" t="s">
        <v>352</v>
      </c>
      <c r="D339" s="14">
        <v>0</v>
      </c>
    </row>
    <row r="340" spans="1:4" x14ac:dyDescent="0.5">
      <c r="A340" s="14">
        <v>0</v>
      </c>
      <c r="B340" s="14" t="s">
        <v>351</v>
      </c>
      <c r="C340" s="14" t="s">
        <v>352</v>
      </c>
      <c r="D340" s="14">
        <v>0</v>
      </c>
    </row>
    <row r="341" spans="1:4" x14ac:dyDescent="0.5">
      <c r="A341" s="14">
        <v>0</v>
      </c>
      <c r="B341" s="14" t="s">
        <v>351</v>
      </c>
      <c r="C341" s="14" t="s">
        <v>352</v>
      </c>
      <c r="D341" s="14">
        <v>0</v>
      </c>
    </row>
    <row r="342" spans="1:4" x14ac:dyDescent="0.5">
      <c r="A342" s="14">
        <v>0</v>
      </c>
      <c r="B342" s="14" t="s">
        <v>351</v>
      </c>
      <c r="C342" s="14" t="s">
        <v>352</v>
      </c>
      <c r="D342" s="14">
        <v>0</v>
      </c>
    </row>
    <row r="343" spans="1:4" x14ac:dyDescent="0.5">
      <c r="A343" s="14">
        <v>0</v>
      </c>
      <c r="B343" s="14" t="s">
        <v>351</v>
      </c>
      <c r="C343" s="14" t="s">
        <v>352</v>
      </c>
      <c r="D343" s="14">
        <v>0</v>
      </c>
    </row>
    <row r="344" spans="1:4" x14ac:dyDescent="0.5">
      <c r="A344" s="14">
        <v>0</v>
      </c>
      <c r="B344" s="14" t="s">
        <v>351</v>
      </c>
      <c r="C344" s="14" t="s">
        <v>352</v>
      </c>
      <c r="D344" s="14">
        <v>0</v>
      </c>
    </row>
    <row r="345" spans="1:4" x14ac:dyDescent="0.5">
      <c r="A345" s="14">
        <v>0</v>
      </c>
      <c r="B345" s="14" t="s">
        <v>351</v>
      </c>
      <c r="C345" s="14" t="s">
        <v>352</v>
      </c>
      <c r="D345" s="14">
        <v>0</v>
      </c>
    </row>
    <row r="346" spans="1:4" x14ac:dyDescent="0.5">
      <c r="A346" s="14">
        <v>0</v>
      </c>
      <c r="B346" s="14" t="s">
        <v>351</v>
      </c>
      <c r="C346" s="14" t="s">
        <v>352</v>
      </c>
      <c r="D346" s="14">
        <v>0</v>
      </c>
    </row>
    <row r="347" spans="1:4" x14ac:dyDescent="0.5">
      <c r="A347" s="14">
        <v>0</v>
      </c>
      <c r="B347" s="14" t="s">
        <v>351</v>
      </c>
      <c r="C347" s="14" t="s">
        <v>352</v>
      </c>
      <c r="D347" s="14">
        <v>0</v>
      </c>
    </row>
    <row r="348" spans="1:4" x14ac:dyDescent="0.5">
      <c r="A348" s="14">
        <v>0</v>
      </c>
      <c r="B348" s="14" t="s">
        <v>351</v>
      </c>
      <c r="C348" s="14" t="s">
        <v>352</v>
      </c>
      <c r="D348" s="14">
        <v>0</v>
      </c>
    </row>
    <row r="349" spans="1:4" x14ac:dyDescent="0.5">
      <c r="A349" s="14">
        <v>0</v>
      </c>
      <c r="B349" s="14" t="s">
        <v>351</v>
      </c>
      <c r="C349" s="14" t="s">
        <v>352</v>
      </c>
      <c r="D349" s="14">
        <v>0</v>
      </c>
    </row>
    <row r="350" spans="1:4" x14ac:dyDescent="0.5">
      <c r="A350" s="14">
        <v>0</v>
      </c>
      <c r="B350" s="14" t="s">
        <v>351</v>
      </c>
      <c r="C350" s="14" t="s">
        <v>352</v>
      </c>
      <c r="D350" s="14">
        <v>0</v>
      </c>
    </row>
    <row r="351" spans="1:4" x14ac:dyDescent="0.5">
      <c r="A351" s="14">
        <v>0</v>
      </c>
      <c r="B351" s="14" t="s">
        <v>351</v>
      </c>
      <c r="C351" s="14" t="s">
        <v>352</v>
      </c>
      <c r="D351" s="14">
        <v>0</v>
      </c>
    </row>
    <row r="352" spans="1:4" x14ac:dyDescent="0.5">
      <c r="A352" s="14">
        <v>0</v>
      </c>
      <c r="B352" s="14" t="s">
        <v>351</v>
      </c>
      <c r="C352" s="14" t="s">
        <v>352</v>
      </c>
      <c r="D352" s="14">
        <v>0</v>
      </c>
    </row>
    <row r="353" spans="1:4" x14ac:dyDescent="0.5">
      <c r="A353" s="14">
        <v>0</v>
      </c>
      <c r="B353" s="14" t="s">
        <v>351</v>
      </c>
      <c r="C353" s="14" t="s">
        <v>352</v>
      </c>
      <c r="D353" s="14">
        <v>0</v>
      </c>
    </row>
    <row r="354" spans="1:4" x14ac:dyDescent="0.5">
      <c r="A354" s="14">
        <v>0</v>
      </c>
      <c r="B354" s="14" t="s">
        <v>351</v>
      </c>
      <c r="C354" s="14" t="s">
        <v>352</v>
      </c>
      <c r="D354" s="14">
        <v>0</v>
      </c>
    </row>
    <row r="355" spans="1:4" x14ac:dyDescent="0.5">
      <c r="A355" s="14">
        <v>0</v>
      </c>
      <c r="B355" s="14" t="s">
        <v>351</v>
      </c>
      <c r="C355" s="14" t="s">
        <v>352</v>
      </c>
      <c r="D355" s="14">
        <v>0</v>
      </c>
    </row>
    <row r="356" spans="1:4" x14ac:dyDescent="0.5">
      <c r="A356" s="14">
        <v>0</v>
      </c>
      <c r="B356" s="14" t="s">
        <v>351</v>
      </c>
      <c r="C356" s="14" t="s">
        <v>352</v>
      </c>
      <c r="D356" s="14">
        <v>0</v>
      </c>
    </row>
    <row r="357" spans="1:4" x14ac:dyDescent="0.5">
      <c r="A357" s="14">
        <v>0</v>
      </c>
      <c r="B357" s="14" t="s">
        <v>351</v>
      </c>
      <c r="C357" s="14" t="s">
        <v>352</v>
      </c>
      <c r="D357" s="14">
        <v>0</v>
      </c>
    </row>
    <row r="358" spans="1:4" x14ac:dyDescent="0.5">
      <c r="A358" s="14">
        <v>0</v>
      </c>
      <c r="B358" s="14" t="s">
        <v>351</v>
      </c>
      <c r="C358" s="14" t="s">
        <v>352</v>
      </c>
      <c r="D358" s="14">
        <v>0</v>
      </c>
    </row>
    <row r="359" spans="1:4" x14ac:dyDescent="0.5">
      <c r="A359" s="14">
        <v>0</v>
      </c>
      <c r="B359" s="14" t="s">
        <v>351</v>
      </c>
      <c r="C359" s="14" t="s">
        <v>352</v>
      </c>
      <c r="D359" s="14">
        <v>0</v>
      </c>
    </row>
    <row r="360" spans="1:4" x14ac:dyDescent="0.5">
      <c r="A360" s="14">
        <v>0</v>
      </c>
      <c r="B360" s="14" t="s">
        <v>351</v>
      </c>
      <c r="C360" s="14" t="s">
        <v>352</v>
      </c>
      <c r="D360" s="14">
        <v>0</v>
      </c>
    </row>
    <row r="361" spans="1:4" x14ac:dyDescent="0.5">
      <c r="A361" s="14">
        <v>0</v>
      </c>
      <c r="B361" s="14" t="s">
        <v>351</v>
      </c>
      <c r="C361" s="14" t="s">
        <v>352</v>
      </c>
      <c r="D361" s="14">
        <v>0</v>
      </c>
    </row>
    <row r="362" spans="1:4" x14ac:dyDescent="0.5">
      <c r="A362" s="14">
        <v>0</v>
      </c>
      <c r="B362" s="14" t="s">
        <v>351</v>
      </c>
      <c r="C362" s="14" t="s">
        <v>352</v>
      </c>
      <c r="D362" s="14">
        <v>0</v>
      </c>
    </row>
    <row r="363" spans="1:4" x14ac:dyDescent="0.5">
      <c r="A363" s="14">
        <v>0</v>
      </c>
      <c r="B363" s="14" t="s">
        <v>351</v>
      </c>
      <c r="C363" s="14" t="s">
        <v>352</v>
      </c>
      <c r="D363" s="14">
        <v>0</v>
      </c>
    </row>
    <row r="364" spans="1:4" x14ac:dyDescent="0.5">
      <c r="A364" s="14">
        <v>0</v>
      </c>
      <c r="B364" s="14" t="s">
        <v>351</v>
      </c>
      <c r="C364" s="14" t="s">
        <v>352</v>
      </c>
      <c r="D364" s="14">
        <v>0</v>
      </c>
    </row>
    <row r="365" spans="1:4" x14ac:dyDescent="0.5">
      <c r="A365" s="14">
        <v>0</v>
      </c>
      <c r="B365" s="14" t="s">
        <v>351</v>
      </c>
      <c r="C365" s="14" t="s">
        <v>352</v>
      </c>
      <c r="D365" s="14">
        <v>0</v>
      </c>
    </row>
    <row r="366" spans="1:4" x14ac:dyDescent="0.5">
      <c r="A366" s="14">
        <v>0</v>
      </c>
      <c r="B366" s="14" t="s">
        <v>351</v>
      </c>
      <c r="C366" s="14" t="s">
        <v>352</v>
      </c>
      <c r="D366" s="14">
        <v>0</v>
      </c>
    </row>
    <row r="367" spans="1:4" x14ac:dyDescent="0.5">
      <c r="A367" s="14">
        <v>0</v>
      </c>
      <c r="B367" s="14" t="s">
        <v>351</v>
      </c>
      <c r="C367" s="14" t="s">
        <v>352</v>
      </c>
      <c r="D367" s="14">
        <v>0</v>
      </c>
    </row>
    <row r="368" spans="1:4" x14ac:dyDescent="0.5">
      <c r="A368" s="14">
        <v>0</v>
      </c>
      <c r="B368" s="14" t="s">
        <v>351</v>
      </c>
      <c r="C368" s="14" t="s">
        <v>352</v>
      </c>
      <c r="D368" s="14">
        <v>0</v>
      </c>
    </row>
    <row r="369" spans="1:4" x14ac:dyDescent="0.5">
      <c r="A369" s="14">
        <v>0</v>
      </c>
      <c r="B369" s="14" t="s">
        <v>351</v>
      </c>
      <c r="C369" s="14" t="s">
        <v>352</v>
      </c>
      <c r="D369" s="14">
        <v>0</v>
      </c>
    </row>
    <row r="370" spans="1:4" x14ac:dyDescent="0.5">
      <c r="A370" s="14">
        <v>0</v>
      </c>
      <c r="B370" s="14" t="s">
        <v>351</v>
      </c>
      <c r="C370" s="14" t="s">
        <v>352</v>
      </c>
      <c r="D370" s="14">
        <v>0</v>
      </c>
    </row>
    <row r="371" spans="1:4" x14ac:dyDescent="0.5">
      <c r="A371" s="14">
        <v>0</v>
      </c>
      <c r="B371" s="14" t="s">
        <v>351</v>
      </c>
      <c r="C371" s="14" t="s">
        <v>352</v>
      </c>
      <c r="D371" s="14">
        <v>0</v>
      </c>
    </row>
    <row r="372" spans="1:4" x14ac:dyDescent="0.5">
      <c r="A372" s="14">
        <v>0</v>
      </c>
      <c r="B372" s="14" t="s">
        <v>351</v>
      </c>
      <c r="C372" s="14" t="s">
        <v>352</v>
      </c>
      <c r="D372" s="14">
        <v>0</v>
      </c>
    </row>
    <row r="373" spans="1:4" x14ac:dyDescent="0.5">
      <c r="A373" s="14">
        <v>0</v>
      </c>
      <c r="B373" s="14" t="s">
        <v>351</v>
      </c>
      <c r="C373" s="14" t="s">
        <v>352</v>
      </c>
      <c r="D373" s="14">
        <v>0</v>
      </c>
    </row>
    <row r="374" spans="1:4" x14ac:dyDescent="0.5">
      <c r="A374" s="14">
        <v>0</v>
      </c>
      <c r="B374" s="14" t="s">
        <v>351</v>
      </c>
      <c r="C374" s="14" t="s">
        <v>352</v>
      </c>
      <c r="D374" s="14">
        <v>0</v>
      </c>
    </row>
    <row r="375" spans="1:4" x14ac:dyDescent="0.5">
      <c r="A375" s="14">
        <v>0</v>
      </c>
      <c r="B375" s="14" t="s">
        <v>351</v>
      </c>
      <c r="C375" s="14" t="s">
        <v>352</v>
      </c>
      <c r="D375" s="14">
        <v>0</v>
      </c>
    </row>
    <row r="376" spans="1:4" x14ac:dyDescent="0.5">
      <c r="A376" s="14">
        <v>0</v>
      </c>
      <c r="B376" s="14" t="s">
        <v>351</v>
      </c>
      <c r="C376" s="14" t="s">
        <v>352</v>
      </c>
      <c r="D376" s="14">
        <v>0</v>
      </c>
    </row>
    <row r="377" spans="1:4" x14ac:dyDescent="0.5">
      <c r="A377" s="14">
        <v>0</v>
      </c>
      <c r="B377" s="14" t="s">
        <v>351</v>
      </c>
      <c r="C377" s="14" t="s">
        <v>352</v>
      </c>
      <c r="D377" s="14">
        <v>0</v>
      </c>
    </row>
    <row r="378" spans="1:4" x14ac:dyDescent="0.5">
      <c r="A378" s="14">
        <v>0</v>
      </c>
      <c r="B378" s="14" t="s">
        <v>351</v>
      </c>
      <c r="C378" s="14" t="s">
        <v>352</v>
      </c>
      <c r="D378" s="14">
        <v>0</v>
      </c>
    </row>
    <row r="379" spans="1:4" x14ac:dyDescent="0.5">
      <c r="A379" s="14">
        <v>0</v>
      </c>
      <c r="B379" s="14" t="s">
        <v>351</v>
      </c>
      <c r="C379" s="14" t="s">
        <v>352</v>
      </c>
      <c r="D379" s="14">
        <v>0</v>
      </c>
    </row>
    <row r="380" spans="1:4" x14ac:dyDescent="0.5">
      <c r="A380" s="14">
        <v>0</v>
      </c>
      <c r="B380" s="14" t="s">
        <v>351</v>
      </c>
      <c r="C380" s="14" t="s">
        <v>352</v>
      </c>
      <c r="D380" s="14">
        <v>0</v>
      </c>
    </row>
    <row r="381" spans="1:4" x14ac:dyDescent="0.5">
      <c r="A381" s="14">
        <v>0</v>
      </c>
      <c r="B381" s="14" t="s">
        <v>351</v>
      </c>
      <c r="C381" s="14" t="s">
        <v>352</v>
      </c>
      <c r="D381" s="14">
        <v>0</v>
      </c>
    </row>
    <row r="382" spans="1:4" x14ac:dyDescent="0.5">
      <c r="A382" s="14">
        <v>0</v>
      </c>
      <c r="B382" s="14" t="s">
        <v>351</v>
      </c>
      <c r="C382" s="14" t="s">
        <v>352</v>
      </c>
      <c r="D382" s="14">
        <v>0</v>
      </c>
    </row>
    <row r="383" spans="1:4" x14ac:dyDescent="0.5">
      <c r="A383" s="14">
        <v>0</v>
      </c>
      <c r="B383" s="14" t="s">
        <v>351</v>
      </c>
      <c r="C383" s="14" t="s">
        <v>352</v>
      </c>
      <c r="D383" s="14">
        <v>0</v>
      </c>
    </row>
    <row r="384" spans="1:4" x14ac:dyDescent="0.5">
      <c r="A384" s="14">
        <v>0</v>
      </c>
      <c r="B384" s="14" t="s">
        <v>351</v>
      </c>
      <c r="C384" s="14" t="s">
        <v>352</v>
      </c>
      <c r="D384" s="14">
        <v>0</v>
      </c>
    </row>
    <row r="385" spans="1:4" x14ac:dyDescent="0.5">
      <c r="A385" s="14">
        <v>0</v>
      </c>
      <c r="B385" s="14" t="s">
        <v>351</v>
      </c>
      <c r="C385" s="14" t="s">
        <v>352</v>
      </c>
      <c r="D385" s="14">
        <v>0</v>
      </c>
    </row>
    <row r="386" spans="1:4" x14ac:dyDescent="0.5">
      <c r="A386" s="14">
        <v>0</v>
      </c>
      <c r="B386" s="14" t="s">
        <v>351</v>
      </c>
      <c r="C386" s="14" t="s">
        <v>352</v>
      </c>
      <c r="D386" s="14">
        <v>0</v>
      </c>
    </row>
    <row r="387" spans="1:4" x14ac:dyDescent="0.5">
      <c r="A387" s="14">
        <v>0</v>
      </c>
      <c r="B387" s="14" t="s">
        <v>351</v>
      </c>
      <c r="C387" s="14" t="s">
        <v>352</v>
      </c>
      <c r="D387" s="14">
        <v>0</v>
      </c>
    </row>
    <row r="388" spans="1:4" x14ac:dyDescent="0.5">
      <c r="A388" s="14">
        <v>0</v>
      </c>
      <c r="B388" s="14" t="s">
        <v>351</v>
      </c>
      <c r="C388" s="14" t="s">
        <v>352</v>
      </c>
      <c r="D388" s="14">
        <v>0</v>
      </c>
    </row>
    <row r="389" spans="1:4" x14ac:dyDescent="0.5">
      <c r="A389" s="14">
        <v>0</v>
      </c>
      <c r="B389" s="14" t="s">
        <v>351</v>
      </c>
      <c r="C389" s="14" t="s">
        <v>352</v>
      </c>
      <c r="D389" s="14">
        <v>0</v>
      </c>
    </row>
    <row r="390" spans="1:4" x14ac:dyDescent="0.5">
      <c r="A390" s="14">
        <v>0</v>
      </c>
      <c r="B390" s="14" t="s">
        <v>351</v>
      </c>
      <c r="C390" s="14" t="s">
        <v>352</v>
      </c>
      <c r="D390" s="14">
        <v>0</v>
      </c>
    </row>
    <row r="391" spans="1:4" x14ac:dyDescent="0.5">
      <c r="A391" s="14">
        <v>0</v>
      </c>
      <c r="B391" s="14" t="s">
        <v>351</v>
      </c>
      <c r="C391" s="14" t="s">
        <v>352</v>
      </c>
      <c r="D391" s="14">
        <v>0</v>
      </c>
    </row>
    <row r="392" spans="1:4" x14ac:dyDescent="0.5">
      <c r="A392" s="14">
        <v>0</v>
      </c>
      <c r="B392" s="14" t="s">
        <v>351</v>
      </c>
      <c r="C392" s="14" t="s">
        <v>352</v>
      </c>
      <c r="D392" s="14">
        <v>0</v>
      </c>
    </row>
    <row r="393" spans="1:4" x14ac:dyDescent="0.5">
      <c r="A393" s="14">
        <v>0</v>
      </c>
      <c r="B393" s="14" t="s">
        <v>351</v>
      </c>
      <c r="C393" s="14" t="s">
        <v>352</v>
      </c>
      <c r="D393" s="14">
        <v>0</v>
      </c>
    </row>
    <row r="394" spans="1:4" x14ac:dyDescent="0.5">
      <c r="A394" s="14">
        <v>0</v>
      </c>
      <c r="B394" s="14" t="s">
        <v>351</v>
      </c>
      <c r="C394" s="14" t="s">
        <v>352</v>
      </c>
      <c r="D394" s="14">
        <v>0</v>
      </c>
    </row>
    <row r="395" spans="1:4" x14ac:dyDescent="0.5">
      <c r="A395" s="14">
        <v>0</v>
      </c>
      <c r="B395" s="14" t="s">
        <v>351</v>
      </c>
      <c r="C395" s="14" t="s">
        <v>352</v>
      </c>
      <c r="D395" s="14">
        <v>0</v>
      </c>
    </row>
    <row r="396" spans="1:4" x14ac:dyDescent="0.5">
      <c r="A396" s="14">
        <v>0</v>
      </c>
      <c r="B396" s="14" t="s">
        <v>351</v>
      </c>
      <c r="C396" s="14" t="s">
        <v>352</v>
      </c>
      <c r="D396" s="14">
        <v>0</v>
      </c>
    </row>
    <row r="397" spans="1:4" x14ac:dyDescent="0.5">
      <c r="A397" s="14">
        <v>0</v>
      </c>
      <c r="B397" s="14" t="s">
        <v>351</v>
      </c>
      <c r="C397" s="14" t="s">
        <v>352</v>
      </c>
      <c r="D397" s="14">
        <v>0</v>
      </c>
    </row>
    <row r="398" spans="1:4" x14ac:dyDescent="0.5">
      <c r="A398" s="14">
        <v>0</v>
      </c>
      <c r="B398" s="14" t="s">
        <v>351</v>
      </c>
      <c r="C398" s="14" t="s">
        <v>352</v>
      </c>
      <c r="D398" s="14">
        <v>0</v>
      </c>
    </row>
    <row r="399" spans="1:4" x14ac:dyDescent="0.5">
      <c r="A399" s="14">
        <v>0</v>
      </c>
      <c r="B399" s="14" t="s">
        <v>351</v>
      </c>
      <c r="C399" s="14" t="s">
        <v>352</v>
      </c>
      <c r="D399" s="14">
        <v>0</v>
      </c>
    </row>
    <row r="400" spans="1:4" x14ac:dyDescent="0.5">
      <c r="A400" s="14">
        <v>0</v>
      </c>
      <c r="B400" s="14" t="s">
        <v>351</v>
      </c>
      <c r="C400" s="14" t="s">
        <v>352</v>
      </c>
      <c r="D400" s="14">
        <v>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6"/>
  <sheetViews>
    <sheetView workbookViewId="0">
      <selection sqref="A1:A1048576"/>
    </sheetView>
  </sheetViews>
  <sheetFormatPr defaultRowHeight="14.5" x14ac:dyDescent="0.35"/>
  <sheetData>
    <row r="1" spans="1:3" x14ac:dyDescent="0.35">
      <c r="A1" t="s">
        <v>87</v>
      </c>
      <c r="B1" t="s">
        <v>88</v>
      </c>
      <c r="C1" t="s">
        <v>89</v>
      </c>
    </row>
    <row r="2" spans="1:3" x14ac:dyDescent="0.35">
      <c r="A2" t="s">
        <v>91</v>
      </c>
      <c r="B2" t="s">
        <v>155</v>
      </c>
      <c r="C2" t="s">
        <v>7</v>
      </c>
    </row>
    <row r="3" spans="1:3" x14ac:dyDescent="0.35">
      <c r="A3" t="s">
        <v>95</v>
      </c>
      <c r="B3" t="s">
        <v>156</v>
      </c>
      <c r="C3" t="s">
        <v>8</v>
      </c>
    </row>
    <row r="4" spans="1:3" x14ac:dyDescent="0.35">
      <c r="A4" t="s">
        <v>90</v>
      </c>
      <c r="B4" t="s">
        <v>157</v>
      </c>
      <c r="C4" t="s">
        <v>9</v>
      </c>
    </row>
    <row r="5" spans="1:3" x14ac:dyDescent="0.35">
      <c r="A5" t="s">
        <v>72</v>
      </c>
      <c r="B5" t="s">
        <v>158</v>
      </c>
      <c r="C5" t="s">
        <v>10</v>
      </c>
    </row>
    <row r="6" spans="1:3" x14ac:dyDescent="0.35">
      <c r="A6" s="1" t="s">
        <v>73</v>
      </c>
      <c r="B6" t="s">
        <v>159</v>
      </c>
      <c r="C6" t="s">
        <v>11</v>
      </c>
    </row>
    <row r="7" spans="1:3" x14ac:dyDescent="0.35">
      <c r="A7" t="s">
        <v>96</v>
      </c>
      <c r="B7" t="s">
        <v>160</v>
      </c>
      <c r="C7" t="s">
        <v>12</v>
      </c>
    </row>
    <row r="8" spans="1:3" x14ac:dyDescent="0.35">
      <c r="A8" t="s">
        <v>97</v>
      </c>
      <c r="B8" t="s">
        <v>161</v>
      </c>
      <c r="C8" t="s">
        <v>13</v>
      </c>
    </row>
    <row r="9" spans="1:3" x14ac:dyDescent="0.35">
      <c r="A9" t="s">
        <v>98</v>
      </c>
      <c r="B9" t="s">
        <v>162</v>
      </c>
      <c r="C9" t="s">
        <v>14</v>
      </c>
    </row>
    <row r="10" spans="1:3" x14ac:dyDescent="0.35">
      <c r="A10" t="s">
        <v>99</v>
      </c>
      <c r="B10" t="s">
        <v>163</v>
      </c>
      <c r="C10" t="s">
        <v>15</v>
      </c>
    </row>
    <row r="11" spans="1:3" x14ac:dyDescent="0.35">
      <c r="A11" t="s">
        <v>100</v>
      </c>
      <c r="B11" t="s">
        <v>164</v>
      </c>
      <c r="C11" t="s">
        <v>16</v>
      </c>
    </row>
    <row r="12" spans="1:3" x14ac:dyDescent="0.35">
      <c r="A12" t="s">
        <v>101</v>
      </c>
      <c r="B12" t="s">
        <v>165</v>
      </c>
      <c r="C12" t="s">
        <v>17</v>
      </c>
    </row>
    <row r="13" spans="1:3" x14ac:dyDescent="0.35">
      <c r="A13" t="s">
        <v>102</v>
      </c>
      <c r="B13" t="s">
        <v>166</v>
      </c>
      <c r="C13" t="s">
        <v>18</v>
      </c>
    </row>
    <row r="14" spans="1:3" x14ac:dyDescent="0.35">
      <c r="A14" t="s">
        <v>103</v>
      </c>
      <c r="B14" t="s">
        <v>167</v>
      </c>
      <c r="C14" t="s">
        <v>19</v>
      </c>
    </row>
    <row r="15" spans="1:3" x14ac:dyDescent="0.35">
      <c r="A15" t="s">
        <v>104</v>
      </c>
      <c r="B15" t="s">
        <v>168</v>
      </c>
      <c r="C15" t="s">
        <v>20</v>
      </c>
    </row>
    <row r="16" spans="1:3" x14ac:dyDescent="0.35">
      <c r="A16" t="s">
        <v>105</v>
      </c>
      <c r="B16" t="s">
        <v>169</v>
      </c>
      <c r="C16" t="s">
        <v>21</v>
      </c>
    </row>
    <row r="17" spans="1:3" x14ac:dyDescent="0.35">
      <c r="A17" t="s">
        <v>106</v>
      </c>
      <c r="B17" t="s">
        <v>170</v>
      </c>
      <c r="C17" t="s">
        <v>22</v>
      </c>
    </row>
    <row r="18" spans="1:3" x14ac:dyDescent="0.35">
      <c r="A18" t="s">
        <v>107</v>
      </c>
      <c r="B18" t="s">
        <v>171</v>
      </c>
      <c r="C18" t="s">
        <v>23</v>
      </c>
    </row>
    <row r="19" spans="1:3" x14ac:dyDescent="0.35">
      <c r="A19" t="s">
        <v>108</v>
      </c>
      <c r="B19" t="s">
        <v>172</v>
      </c>
      <c r="C19" t="s">
        <v>24</v>
      </c>
    </row>
    <row r="20" spans="1:3" x14ac:dyDescent="0.35">
      <c r="A20" t="s">
        <v>109</v>
      </c>
      <c r="B20" t="s">
        <v>173</v>
      </c>
      <c r="C20" t="s">
        <v>25</v>
      </c>
    </row>
    <row r="21" spans="1:3" x14ac:dyDescent="0.35">
      <c r="A21" t="s">
        <v>110</v>
      </c>
      <c r="B21" t="s">
        <v>174</v>
      </c>
      <c r="C21" t="s">
        <v>26</v>
      </c>
    </row>
    <row r="22" spans="1:3" x14ac:dyDescent="0.35">
      <c r="A22" t="s">
        <v>111</v>
      </c>
      <c r="B22" t="s">
        <v>175</v>
      </c>
      <c r="C22" t="s">
        <v>27</v>
      </c>
    </row>
    <row r="23" spans="1:3" x14ac:dyDescent="0.35">
      <c r="A23" t="s">
        <v>112</v>
      </c>
      <c r="B23" t="s">
        <v>176</v>
      </c>
      <c r="C23" t="s">
        <v>28</v>
      </c>
    </row>
    <row r="24" spans="1:3" x14ac:dyDescent="0.35">
      <c r="A24" t="s">
        <v>113</v>
      </c>
      <c r="B24" t="s">
        <v>177</v>
      </c>
      <c r="C24" t="s">
        <v>29</v>
      </c>
    </row>
    <row r="25" spans="1:3" x14ac:dyDescent="0.35">
      <c r="A25" t="s">
        <v>114</v>
      </c>
      <c r="B25" t="s">
        <v>178</v>
      </c>
      <c r="C25" t="s">
        <v>30</v>
      </c>
    </row>
    <row r="26" spans="1:3" x14ac:dyDescent="0.35">
      <c r="A26" t="s">
        <v>115</v>
      </c>
      <c r="B26" t="s">
        <v>179</v>
      </c>
      <c r="C26" t="s">
        <v>31</v>
      </c>
    </row>
    <row r="27" spans="1:3" x14ac:dyDescent="0.35">
      <c r="A27" t="s">
        <v>116</v>
      </c>
      <c r="B27" t="s">
        <v>180</v>
      </c>
      <c r="C27" t="s">
        <v>32</v>
      </c>
    </row>
    <row r="28" spans="1:3" x14ac:dyDescent="0.35">
      <c r="A28" t="s">
        <v>4</v>
      </c>
      <c r="B28" t="s">
        <v>181</v>
      </c>
      <c r="C28" t="s">
        <v>33</v>
      </c>
    </row>
    <row r="29" spans="1:3" x14ac:dyDescent="0.35">
      <c r="A29" t="s">
        <v>117</v>
      </c>
      <c r="B29" t="s">
        <v>182</v>
      </c>
      <c r="C29" t="s">
        <v>34</v>
      </c>
    </row>
    <row r="30" spans="1:3" x14ac:dyDescent="0.35">
      <c r="A30" t="s">
        <v>118</v>
      </c>
      <c r="B30" t="s">
        <v>183</v>
      </c>
      <c r="C30" t="s">
        <v>35</v>
      </c>
    </row>
    <row r="31" spans="1:3" x14ac:dyDescent="0.35">
      <c r="A31" t="s">
        <v>119</v>
      </c>
      <c r="B31" t="s">
        <v>184</v>
      </c>
      <c r="C31" t="s">
        <v>36</v>
      </c>
    </row>
    <row r="32" spans="1:3" x14ac:dyDescent="0.35">
      <c r="A32" t="s">
        <v>120</v>
      </c>
      <c r="B32" t="s">
        <v>185</v>
      </c>
      <c r="C32" t="s">
        <v>37</v>
      </c>
    </row>
    <row r="33" spans="1:3" x14ac:dyDescent="0.35">
      <c r="A33" t="s">
        <v>121</v>
      </c>
      <c r="B33" t="s">
        <v>186</v>
      </c>
      <c r="C33" t="s">
        <v>38</v>
      </c>
    </row>
    <row r="34" spans="1:3" x14ac:dyDescent="0.35">
      <c r="A34" t="s">
        <v>122</v>
      </c>
      <c r="B34" t="s">
        <v>187</v>
      </c>
      <c r="C34" t="s">
        <v>39</v>
      </c>
    </row>
    <row r="35" spans="1:3" x14ac:dyDescent="0.35">
      <c r="A35" t="s">
        <v>123</v>
      </c>
      <c r="B35" t="s">
        <v>188</v>
      </c>
      <c r="C35" t="s">
        <v>40</v>
      </c>
    </row>
    <row r="36" spans="1:3" x14ac:dyDescent="0.35">
      <c r="A36" t="s">
        <v>124</v>
      </c>
      <c r="B36" t="s">
        <v>189</v>
      </c>
      <c r="C36" t="s">
        <v>41</v>
      </c>
    </row>
    <row r="37" spans="1:3" x14ac:dyDescent="0.35">
      <c r="A37" t="s">
        <v>125</v>
      </c>
      <c r="B37" t="s">
        <v>190</v>
      </c>
      <c r="C37" t="s">
        <v>42</v>
      </c>
    </row>
    <row r="38" spans="1:3" x14ac:dyDescent="0.35">
      <c r="A38" t="s">
        <v>126</v>
      </c>
      <c r="B38" t="s">
        <v>191</v>
      </c>
      <c r="C38" t="s">
        <v>43</v>
      </c>
    </row>
    <row r="39" spans="1:3" x14ac:dyDescent="0.35">
      <c r="A39" t="s">
        <v>127</v>
      </c>
      <c r="B39" t="s">
        <v>192</v>
      </c>
      <c r="C39" t="s">
        <v>44</v>
      </c>
    </row>
    <row r="40" spans="1:3" x14ac:dyDescent="0.35">
      <c r="A40" t="s">
        <v>128</v>
      </c>
      <c r="B40" t="s">
        <v>193</v>
      </c>
      <c r="C40" t="s">
        <v>45</v>
      </c>
    </row>
    <row r="41" spans="1:3" x14ac:dyDescent="0.35">
      <c r="A41" t="s">
        <v>129</v>
      </c>
      <c r="B41" t="s">
        <v>194</v>
      </c>
      <c r="C41" t="s">
        <v>46</v>
      </c>
    </row>
    <row r="42" spans="1:3" x14ac:dyDescent="0.35">
      <c r="A42" t="s">
        <v>130</v>
      </c>
      <c r="B42" t="s">
        <v>195</v>
      </c>
      <c r="C42" t="s">
        <v>47</v>
      </c>
    </row>
    <row r="43" spans="1:3" x14ac:dyDescent="0.35">
      <c r="A43" t="s">
        <v>131</v>
      </c>
      <c r="B43" t="s">
        <v>196</v>
      </c>
      <c r="C43" t="s">
        <v>48</v>
      </c>
    </row>
    <row r="44" spans="1:3" x14ac:dyDescent="0.35">
      <c r="A44" t="s">
        <v>132</v>
      </c>
      <c r="B44" t="s">
        <v>197</v>
      </c>
      <c r="C44" t="s">
        <v>49</v>
      </c>
    </row>
    <row r="45" spans="1:3" x14ac:dyDescent="0.35">
      <c r="A45" t="s">
        <v>133</v>
      </c>
      <c r="B45" t="s">
        <v>198</v>
      </c>
      <c r="C45" t="s">
        <v>50</v>
      </c>
    </row>
    <row r="46" spans="1:3" x14ac:dyDescent="0.35">
      <c r="A46" t="s">
        <v>134</v>
      </c>
      <c r="B46" t="s">
        <v>199</v>
      </c>
      <c r="C46" t="s">
        <v>51</v>
      </c>
    </row>
    <row r="47" spans="1:3" x14ac:dyDescent="0.35">
      <c r="A47" t="s">
        <v>135</v>
      </c>
      <c r="B47" t="s">
        <v>200</v>
      </c>
      <c r="C47" t="s">
        <v>52</v>
      </c>
    </row>
    <row r="48" spans="1:3" x14ac:dyDescent="0.35">
      <c r="A48" t="s">
        <v>136</v>
      </c>
      <c r="B48" t="s">
        <v>201</v>
      </c>
      <c r="C48" t="s">
        <v>53</v>
      </c>
    </row>
    <row r="49" spans="1:3" x14ac:dyDescent="0.35">
      <c r="A49" t="s">
        <v>137</v>
      </c>
      <c r="B49" t="s">
        <v>202</v>
      </c>
      <c r="C49" t="s">
        <v>54</v>
      </c>
    </row>
    <row r="50" spans="1:3" x14ac:dyDescent="0.35">
      <c r="A50" t="s">
        <v>138</v>
      </c>
      <c r="B50" t="s">
        <v>203</v>
      </c>
      <c r="C50" t="s">
        <v>55</v>
      </c>
    </row>
    <row r="51" spans="1:3" x14ac:dyDescent="0.35">
      <c r="A51" t="s">
        <v>139</v>
      </c>
      <c r="B51" t="s">
        <v>204</v>
      </c>
      <c r="C51" t="s">
        <v>56</v>
      </c>
    </row>
    <row r="52" spans="1:3" x14ac:dyDescent="0.35">
      <c r="A52" t="s">
        <v>140</v>
      </c>
      <c r="B52" t="s">
        <v>205</v>
      </c>
      <c r="C52" t="s">
        <v>57</v>
      </c>
    </row>
    <row r="53" spans="1:3" x14ac:dyDescent="0.35">
      <c r="A53" t="s">
        <v>141</v>
      </c>
      <c r="B53" t="s">
        <v>206</v>
      </c>
      <c r="C53" t="s">
        <v>58</v>
      </c>
    </row>
    <row r="54" spans="1:3" x14ac:dyDescent="0.35">
      <c r="A54" t="s">
        <v>142</v>
      </c>
      <c r="B54" t="s">
        <v>207</v>
      </c>
      <c r="C54" t="s">
        <v>59</v>
      </c>
    </row>
    <row r="55" spans="1:3" x14ac:dyDescent="0.35">
      <c r="A55" t="s">
        <v>143</v>
      </c>
      <c r="B55" t="s">
        <v>208</v>
      </c>
      <c r="C55" t="s">
        <v>60</v>
      </c>
    </row>
    <row r="56" spans="1:3" x14ac:dyDescent="0.35">
      <c r="A56" t="s">
        <v>144</v>
      </c>
      <c r="B56" t="s">
        <v>209</v>
      </c>
      <c r="C56" t="s">
        <v>61</v>
      </c>
    </row>
    <row r="57" spans="1:3" x14ac:dyDescent="0.35">
      <c r="A57" t="s">
        <v>145</v>
      </c>
      <c r="B57" t="s">
        <v>210</v>
      </c>
      <c r="C57" t="s">
        <v>62</v>
      </c>
    </row>
    <row r="58" spans="1:3" x14ac:dyDescent="0.35">
      <c r="A58" t="s">
        <v>146</v>
      </c>
      <c r="B58" t="s">
        <v>211</v>
      </c>
      <c r="C58" t="s">
        <v>63</v>
      </c>
    </row>
    <row r="59" spans="1:3" x14ac:dyDescent="0.35">
      <c r="A59" t="s">
        <v>147</v>
      </c>
      <c r="B59" t="s">
        <v>212</v>
      </c>
      <c r="C59" t="s">
        <v>64</v>
      </c>
    </row>
    <row r="60" spans="1:3" x14ac:dyDescent="0.35">
      <c r="A60" t="s">
        <v>148</v>
      </c>
      <c r="B60" t="s">
        <v>213</v>
      </c>
      <c r="C60" t="s">
        <v>65</v>
      </c>
    </row>
    <row r="61" spans="1:3" x14ac:dyDescent="0.35">
      <c r="A61" t="s">
        <v>149</v>
      </c>
      <c r="B61" t="s">
        <v>214</v>
      </c>
      <c r="C61" t="s">
        <v>66</v>
      </c>
    </row>
    <row r="62" spans="1:3" x14ac:dyDescent="0.35">
      <c r="A62" t="s">
        <v>150</v>
      </c>
      <c r="B62" t="s">
        <v>215</v>
      </c>
      <c r="C62" t="s">
        <v>67</v>
      </c>
    </row>
    <row r="63" spans="1:3" x14ac:dyDescent="0.35">
      <c r="A63" t="s">
        <v>151</v>
      </c>
      <c r="B63" t="s">
        <v>216</v>
      </c>
      <c r="C63" t="s">
        <v>68</v>
      </c>
    </row>
    <row r="64" spans="1:3" x14ac:dyDescent="0.35">
      <c r="A64" t="s">
        <v>152</v>
      </c>
      <c r="B64" t="s">
        <v>217</v>
      </c>
      <c r="C64" t="s">
        <v>69</v>
      </c>
    </row>
    <row r="65" spans="1:3" x14ac:dyDescent="0.35">
      <c r="A65" t="s">
        <v>153</v>
      </c>
      <c r="B65" t="s">
        <v>218</v>
      </c>
      <c r="C65" t="s">
        <v>70</v>
      </c>
    </row>
    <row r="66" spans="1:3" x14ac:dyDescent="0.35">
      <c r="A66" t="s">
        <v>154</v>
      </c>
      <c r="B66" t="s">
        <v>219</v>
      </c>
      <c r="C66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Rota</vt:lpstr>
      <vt:lpstr>Books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Chan-Young Song</dc:creator>
  <cp:lastModifiedBy>Chan-Young Song</cp:lastModifiedBy>
  <dcterms:created xsi:type="dcterms:W3CDTF">2017-03-14T13:14:26Z</dcterms:created>
  <dcterms:modified xsi:type="dcterms:W3CDTF">2017-05-06T17:45:24Z</dcterms:modified>
</cp:coreProperties>
</file>